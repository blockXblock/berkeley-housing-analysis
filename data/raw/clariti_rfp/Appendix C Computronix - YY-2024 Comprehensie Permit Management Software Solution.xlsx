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cxcanada.sharepoint.com/sites/BIDS/Berkeley/Shared Documents/2024 RFP/03 Final/"/>
    </mc:Choice>
  </mc:AlternateContent>
  <xr:revisionPtr revIDLastSave="3551" documentId="13_ncr:1_{85537988-6CF9-430E-B46A-8459D4944F6F}" xr6:coauthVersionLast="47" xr6:coauthVersionMax="47" xr10:uidLastSave="{0F93E92A-F08E-4AD7-8F75-E2D746A1AF38}"/>
  <bookViews>
    <workbookView xWindow="-110" yWindow="-110" windowWidth="19420" windowHeight="10300" xr2:uid="{00000000-000D-0000-FFFF-FFFF00000000}"/>
  </bookViews>
  <sheets>
    <sheet name="FUNCT &amp; TECH REQUIREMENTS" sheetId="1" r:id="rId1"/>
  </sheets>
  <definedNames>
    <definedName name="OLE_LINK1" localSheetId="0">'FUNCT &amp; TECH REQUIREMENTS'!#REF!</definedName>
    <definedName name="_xlnm.Print_Area" localSheetId="0">'FUNCT &amp; TECH REQUIREMENTS'!$A$1:$K$859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45" i="1" l="1"/>
  <c r="J1255" i="1"/>
  <c r="I1255" i="1"/>
  <c r="H1255" i="1"/>
  <c r="G1255" i="1"/>
  <c r="F1255" i="1"/>
  <c r="E1255" i="1"/>
  <c r="J1254" i="1"/>
  <c r="I1254" i="1"/>
  <c r="H1254" i="1"/>
  <c r="G1254" i="1"/>
  <c r="F1254" i="1"/>
  <c r="E1254" i="1"/>
  <c r="J1253" i="1"/>
  <c r="I1253" i="1"/>
  <c r="H1253" i="1"/>
  <c r="G1253" i="1"/>
  <c r="F1253" i="1"/>
  <c r="E1253" i="1"/>
  <c r="J1252" i="1"/>
  <c r="I1252" i="1"/>
  <c r="H1252" i="1"/>
  <c r="G1252" i="1"/>
  <c r="F1252" i="1"/>
  <c r="E1252" i="1"/>
  <c r="J1251" i="1"/>
  <c r="I1251" i="1"/>
  <c r="H1251" i="1"/>
  <c r="G1251" i="1"/>
  <c r="F1251" i="1"/>
  <c r="E1251" i="1"/>
  <c r="J1248" i="1"/>
  <c r="I1248" i="1"/>
  <c r="H1248" i="1"/>
  <c r="G1248" i="1"/>
  <c r="F1248" i="1"/>
  <c r="E1248" i="1"/>
  <c r="J1247" i="1"/>
  <c r="I1247" i="1"/>
  <c r="H1247" i="1"/>
  <c r="G1247" i="1"/>
  <c r="F1247" i="1"/>
  <c r="E1247" i="1"/>
  <c r="J1246" i="1"/>
  <c r="I1246" i="1"/>
  <c r="H1246" i="1"/>
  <c r="G1246" i="1"/>
  <c r="F1246" i="1"/>
  <c r="E1246" i="1"/>
  <c r="J1245" i="1"/>
  <c r="I1245" i="1"/>
  <c r="H1245" i="1"/>
  <c r="G1245" i="1"/>
  <c r="E1245" i="1"/>
  <c r="J1244" i="1"/>
  <c r="I1244" i="1"/>
  <c r="H1244" i="1"/>
  <c r="G1244" i="1"/>
  <c r="F1244" i="1"/>
  <c r="E1244" i="1"/>
  <c r="J1243" i="1"/>
  <c r="I1243" i="1"/>
  <c r="H1243" i="1"/>
  <c r="G1243" i="1"/>
  <c r="F1243" i="1"/>
  <c r="E1243" i="1"/>
  <c r="J1242" i="1"/>
  <c r="I1242" i="1"/>
  <c r="H1242" i="1"/>
  <c r="G1242" i="1"/>
  <c r="F1242" i="1"/>
  <c r="E1242" i="1"/>
  <c r="J1241" i="1"/>
  <c r="I1241" i="1"/>
  <c r="H1241" i="1"/>
  <c r="G1241" i="1"/>
  <c r="F1241" i="1"/>
  <c r="E1241" i="1"/>
  <c r="J1240" i="1"/>
  <c r="I1240" i="1"/>
  <c r="H1240" i="1"/>
  <c r="G1240" i="1"/>
  <c r="F1240" i="1"/>
  <c r="E1240" i="1"/>
  <c r="J1239" i="1"/>
  <c r="I1239" i="1"/>
  <c r="H1239" i="1"/>
  <c r="G1239" i="1"/>
  <c r="F1239" i="1"/>
  <c r="E1239" i="1"/>
  <c r="J503" i="1"/>
  <c r="I503" i="1"/>
  <c r="H503" i="1"/>
  <c r="G503" i="1"/>
  <c r="F503" i="1"/>
  <c r="E503" i="1"/>
  <c r="J1152" i="1"/>
  <c r="J1160" i="1" s="1"/>
  <c r="J1191" i="1" s="1"/>
  <c r="I1152" i="1"/>
  <c r="I1160" i="1" s="1"/>
  <c r="I1191" i="1" s="1"/>
  <c r="H1152" i="1"/>
  <c r="H1160" i="1" s="1"/>
  <c r="H1191" i="1" s="1"/>
  <c r="G1152" i="1"/>
  <c r="G1160" i="1" s="1"/>
  <c r="G1191" i="1" s="1"/>
  <c r="F1152" i="1"/>
  <c r="F1160" i="1" s="1"/>
  <c r="F1191" i="1" s="1"/>
  <c r="E1152" i="1"/>
  <c r="E1160" i="1" s="1"/>
  <c r="E1191" i="1" s="1"/>
  <c r="J1145" i="1"/>
  <c r="I1145" i="1"/>
  <c r="H1145" i="1"/>
  <c r="G1145" i="1"/>
  <c r="F1145" i="1"/>
  <c r="E1145" i="1"/>
  <c r="J1094" i="1"/>
  <c r="I1094" i="1"/>
  <c r="H1094" i="1"/>
  <c r="G1094" i="1"/>
  <c r="F1094" i="1"/>
  <c r="E1094" i="1"/>
  <c r="J1087" i="1"/>
  <c r="I1087" i="1"/>
  <c r="H1087" i="1"/>
  <c r="G1087" i="1"/>
  <c r="F1087" i="1"/>
  <c r="E1087" i="1"/>
  <c r="J1066" i="1"/>
  <c r="I1066" i="1"/>
  <c r="H1066" i="1"/>
  <c r="G1066" i="1"/>
  <c r="F1066" i="1"/>
  <c r="E1066" i="1"/>
  <c r="J1013" i="1"/>
  <c r="I1013" i="1"/>
  <c r="H1013" i="1"/>
  <c r="G1013" i="1"/>
  <c r="F1013" i="1"/>
  <c r="E1013" i="1"/>
  <c r="J972" i="1"/>
  <c r="I972" i="1"/>
  <c r="H972" i="1"/>
  <c r="G972" i="1"/>
  <c r="F972" i="1"/>
  <c r="E972" i="1"/>
  <c r="J964" i="1"/>
  <c r="I964" i="1"/>
  <c r="H964" i="1"/>
  <c r="G964" i="1"/>
  <c r="F964" i="1"/>
  <c r="E964" i="1"/>
  <c r="J946" i="1"/>
  <c r="I946" i="1"/>
  <c r="H946" i="1"/>
  <c r="G946" i="1"/>
  <c r="F946" i="1"/>
  <c r="E946" i="1"/>
  <c r="J926" i="1"/>
  <c r="I926" i="1"/>
  <c r="H926" i="1"/>
  <c r="G926" i="1"/>
  <c r="F926" i="1"/>
  <c r="E926" i="1"/>
  <c r="J883" i="1"/>
  <c r="I883" i="1"/>
  <c r="H883" i="1"/>
  <c r="G883" i="1"/>
  <c r="F883" i="1"/>
  <c r="E883" i="1"/>
  <c r="J866" i="1"/>
  <c r="I866" i="1"/>
  <c r="H866" i="1"/>
  <c r="G866" i="1"/>
  <c r="F866" i="1"/>
  <c r="E866" i="1"/>
  <c r="J392" i="1"/>
  <c r="I392" i="1"/>
  <c r="H392" i="1"/>
  <c r="G392" i="1"/>
  <c r="F392" i="1"/>
  <c r="E392" i="1"/>
  <c r="J338" i="1"/>
  <c r="I338" i="1"/>
  <c r="H338" i="1"/>
  <c r="G338" i="1"/>
  <c r="F338" i="1"/>
  <c r="E338" i="1"/>
  <c r="E171" i="1"/>
  <c r="J858" i="1"/>
  <c r="I858" i="1"/>
  <c r="H858" i="1"/>
  <c r="G858" i="1"/>
  <c r="F858" i="1"/>
  <c r="E858" i="1"/>
  <c r="E1269" i="1" l="1"/>
  <c r="J1269" i="1"/>
  <c r="I1269" i="1"/>
  <c r="G1269" i="1"/>
  <c r="H1269" i="1"/>
  <c r="F1269" i="1"/>
  <c r="J840" i="1"/>
  <c r="I840" i="1"/>
  <c r="H840" i="1"/>
  <c r="G840" i="1"/>
  <c r="F840" i="1"/>
  <c r="E840" i="1"/>
  <c r="J824" i="1"/>
  <c r="I824" i="1"/>
  <c r="H824" i="1"/>
  <c r="G824" i="1"/>
  <c r="F824" i="1"/>
  <c r="E824" i="1"/>
  <c r="J779" i="1"/>
  <c r="I779" i="1"/>
  <c r="H779" i="1"/>
  <c r="G779" i="1"/>
  <c r="F779" i="1"/>
  <c r="E779" i="1"/>
  <c r="J700" i="1"/>
  <c r="I700" i="1"/>
  <c r="H700" i="1"/>
  <c r="G700" i="1"/>
  <c r="F700" i="1"/>
  <c r="E700" i="1"/>
  <c r="J640" i="1"/>
  <c r="I640" i="1"/>
  <c r="H640" i="1"/>
  <c r="G640" i="1"/>
  <c r="F640" i="1"/>
  <c r="E640" i="1"/>
  <c r="J632" i="1"/>
  <c r="I632" i="1"/>
  <c r="H632" i="1"/>
  <c r="G632" i="1"/>
  <c r="F632" i="1"/>
  <c r="E632" i="1"/>
  <c r="I624" i="1" l="1"/>
  <c r="I559" i="1"/>
  <c r="I451" i="1"/>
  <c r="I282" i="1"/>
  <c r="I245" i="1"/>
  <c r="I171" i="1"/>
  <c r="I81" i="1"/>
  <c r="E624" i="1"/>
  <c r="F624" i="1"/>
  <c r="G624" i="1"/>
  <c r="H624" i="1"/>
  <c r="J624" i="1"/>
  <c r="E559" i="1"/>
  <c r="F559" i="1"/>
  <c r="G559" i="1"/>
  <c r="H559" i="1"/>
  <c r="J559" i="1"/>
  <c r="J282" i="1"/>
  <c r="H282" i="1"/>
  <c r="G282" i="1"/>
  <c r="F282" i="1"/>
  <c r="E282" i="1"/>
  <c r="J245" i="1"/>
  <c r="H245" i="1"/>
  <c r="G245" i="1"/>
  <c r="F245" i="1"/>
  <c r="E245" i="1"/>
  <c r="J451" i="1"/>
  <c r="H451" i="1"/>
  <c r="G451" i="1"/>
  <c r="F451" i="1"/>
  <c r="E451" i="1"/>
  <c r="J171" i="1"/>
  <c r="H171" i="1"/>
  <c r="G171" i="1"/>
  <c r="F171" i="1"/>
  <c r="J81" i="1"/>
  <c r="H81" i="1"/>
  <c r="G81" i="1"/>
  <c r="F81" i="1"/>
  <c r="E81" i="1"/>
</calcChain>
</file>

<file path=xl/sharedStrings.xml><?xml version="1.0" encoding="utf-8"?>
<sst xmlns="http://schemas.openxmlformats.org/spreadsheetml/2006/main" count="1419" uniqueCount="910">
  <si>
    <t>Enterprise Resource Planning Requirements, RFP &amp; Procurement</t>
  </si>
  <si>
    <t xml:space="preserve"> July 24, 2024</t>
  </si>
  <si>
    <t xml:space="preserve"> </t>
  </si>
  <si>
    <t>Berkeley</t>
  </si>
  <si>
    <t/>
  </si>
  <si>
    <t>Appendix C:  Functional &amp; Technical Requirements</t>
  </si>
  <si>
    <t xml:space="preserve">Vendor Name:  </t>
  </si>
  <si>
    <t>Computronix (USA) Inc.</t>
  </si>
  <si>
    <t>LEGEND:</t>
  </si>
  <si>
    <t>Please fill out each row with the most appropriate answer per the following.</t>
  </si>
  <si>
    <t>Accounts Receivable</t>
  </si>
  <si>
    <t>Purchasing</t>
  </si>
  <si>
    <t xml:space="preserve">Identify if your solution provides the following functionality </t>
  </si>
  <si>
    <t>instructions. Place a "1" in the appropriate box for each of your answers.</t>
  </si>
  <si>
    <t>Accounts Payable</t>
  </si>
  <si>
    <t>Purchasing Contract</t>
  </si>
  <si>
    <t>Budget Process</t>
  </si>
  <si>
    <t xml:space="preserve">Budget Process </t>
  </si>
  <si>
    <t>Functionality Provided:</t>
  </si>
  <si>
    <t>Budget Amendment</t>
  </si>
  <si>
    <t>Y</t>
  </si>
  <si>
    <t>Requirement met out of the box</t>
  </si>
  <si>
    <t xml:space="preserve">Payroll </t>
  </si>
  <si>
    <t xml:space="preserve">Accounts Receivable </t>
  </si>
  <si>
    <t>C</t>
  </si>
  <si>
    <t>Requirement met via Configuration</t>
  </si>
  <si>
    <t>Timecards</t>
  </si>
  <si>
    <t>P</t>
  </si>
  <si>
    <t>Requirement not met, provided via Programming</t>
  </si>
  <si>
    <t>T</t>
  </si>
  <si>
    <t xml:space="preserve">Requirement met by 3rd Party </t>
  </si>
  <si>
    <t>Permit Processing</t>
  </si>
  <si>
    <t>N</t>
  </si>
  <si>
    <t>Requirement not met</t>
  </si>
  <si>
    <t>Utility Billing</t>
  </si>
  <si>
    <t>$</t>
  </si>
  <si>
    <r>
      <t xml:space="preserve">Included in the price.  </t>
    </r>
    <r>
      <rPr>
        <b/>
        <sz val="12"/>
        <color rgb="FFC00000"/>
        <rFont val="Arial"/>
        <family val="2"/>
      </rPr>
      <t>THIS IS A REQUIRED CHECK BOX.</t>
    </r>
  </si>
  <si>
    <t>Sessions 1, 6, 24: Building / Fire / Public Works: Plan Check</t>
  </si>
  <si>
    <t>Features &amp; Functions</t>
  </si>
  <si>
    <t>Notes</t>
  </si>
  <si>
    <t>Building Plan Check</t>
  </si>
  <si>
    <t>• Assign and/or monitor Plan Checks.</t>
  </si>
  <si>
    <t>• Analyze minimum number of permits required.</t>
  </si>
  <si>
    <t>• Design all required permits.</t>
  </si>
  <si>
    <t>Additional configuration effort has been included to expand beyond pre-existing best business practice workflows to accomodate Fire Permits.</t>
  </si>
  <si>
    <t>• Build AMMR process similar to Plan Check process.</t>
  </si>
  <si>
    <t>• Phase Permits process similar to the Plan Check process.</t>
  </si>
  <si>
    <t>• Accelerate Review process similar to the Plan Check process.</t>
  </si>
  <si>
    <t>• Document and records management capabilities, e.g. version control:</t>
  </si>
  <si>
    <t>▪ Support standard naming convention, taxonomy and procedures.</t>
  </si>
  <si>
    <t>▪ Develop a taxonomy upfront for all documents in this process.</t>
  </si>
  <si>
    <t>• Configure the system the minimum independent pieces of information required.</t>
  </si>
  <si>
    <t>• Business logic that enforces data validation.</t>
  </si>
  <si>
    <t>• QA validation of data.</t>
  </si>
  <si>
    <t>• Triage process similar to the Plan Check process.</t>
  </si>
  <si>
    <t>• Ability to rename files within the plan check system.</t>
  </si>
  <si>
    <t>• Access to historical data in the system.</t>
  </si>
  <si>
    <t>• Cloud based system.</t>
  </si>
  <si>
    <t>• Provide auditing tools so staff can directly view database history.</t>
  </si>
  <si>
    <t>Fire Permitting System</t>
  </si>
  <si>
    <t>• Submit permits through a customer portal.</t>
  </si>
  <si>
    <t>• Provide correct fee schedule, for different types of fire permits, with automated calculations.</t>
  </si>
  <si>
    <t>• Workflow automation:</t>
  </si>
  <si>
    <t>▪ Routing</t>
  </si>
  <si>
    <t>▪ Auto-notification</t>
  </si>
  <si>
    <t>▪ Reminders</t>
  </si>
  <si>
    <t>▪ Status Checking</t>
  </si>
  <si>
    <t>▪ Workload balancing</t>
  </si>
  <si>
    <t>The Workload Manager allows a supervisor to compare workloads across multiple staff on a single screen, with the ability to manage and reassign tasks as needed. Additional configuration effort has been included for automated workload balancing based on business rules.</t>
  </si>
  <si>
    <t>• Ability to stamp documents.</t>
  </si>
  <si>
    <t>• Personalized signature stamps.</t>
  </si>
  <si>
    <t>• Consistent 99.99999% systems up time.</t>
  </si>
  <si>
    <t>Computronix leverages Microsoft’s global Azure platform, for POSSE SaaS solutions to deliver 99.9% uptime with performance scaling and redundant load-balancing.</t>
  </si>
  <si>
    <t>• Auto-notification to applicants when plans are due to staff.</t>
  </si>
  <si>
    <t>• Mobile access to documents.</t>
  </si>
  <si>
    <t>• Generate permit specific documents (permits, job cards, declarations) specific to Building, Fire, Public Works.</t>
  </si>
  <si>
    <t>• Provide auto-notification to the applicant of conditions of approval.</t>
  </si>
  <si>
    <t>▪ Include option to provide Permit Declaration with the application and plans.</t>
  </si>
  <si>
    <t>• Automatic issuance of Fire Permit once all steps have been completed.</t>
  </si>
  <si>
    <t>• Schedule and track of inspections.</t>
  </si>
  <si>
    <t>• Provide system checklist of required and correct permits depending construction or permit type.</t>
  </si>
  <si>
    <t>• Provide alerts of required permit.</t>
  </si>
  <si>
    <t>• Provide automatic saving and system/data integrity ensuring information is saved.</t>
  </si>
  <si>
    <t xml:space="preserve">POSSE Mobile (for inspections) supports offline work and will automatically synchronize data updates when connectivity is regained. </t>
  </si>
  <si>
    <t>• Inspector identify the final inspection and automatically final the entire permit.</t>
  </si>
  <si>
    <t>• Applicant information be mandatory fields, ensuring completeness of data.</t>
  </si>
  <si>
    <t>• If there is an associated fire permit to a building permit, the building permit cannot be finaled until all related fire permits are finaled.</t>
  </si>
  <si>
    <t>• Provide auto-notification to the customer or assigned inspector when a permit is issued.</t>
  </si>
  <si>
    <t>• Support a standard naming convention, taxonomy and procedures for document management.</t>
  </si>
  <si>
    <t>• Ability to track inspection hours by permit.</t>
  </si>
  <si>
    <t>• Reports not requiring IT staff involvement.</t>
  </si>
  <si>
    <t>• Ability for the applicant to request inspections.</t>
  </si>
  <si>
    <t>Public Works Plan Check</t>
  </si>
  <si>
    <t>• Activate workflow after uploading plans.</t>
  </si>
  <si>
    <t>• Check plans are uploaded before workflow can be updated.</t>
  </si>
  <si>
    <t>• Change the workflow status after staff have made the initial project update.</t>
  </si>
  <si>
    <t>• Provide various permissions to Public Works Engineering and Traffic staff.</t>
  </si>
  <si>
    <t>• Provide listing of open Plan Checks for Fire and Public Works Plan Review.</t>
  </si>
  <si>
    <t>Sessions 2, 6, 25: Building Inspections / Fire Permit / Public Works Inspections</t>
  </si>
  <si>
    <t>Building Inspection Software</t>
  </si>
  <si>
    <t>• Extract data and do data analytics.</t>
  </si>
  <si>
    <t>• Create metrics for budgeting and scheduling services.</t>
  </si>
  <si>
    <t>• Do workload assessment and resource allocation.</t>
  </si>
  <si>
    <t>• Provide data tracking:</t>
  </si>
  <si>
    <t>▪ By number of inspections</t>
  </si>
  <si>
    <t>▪ By type of inspections</t>
  </si>
  <si>
    <t>▪ By area, by inspector</t>
  </si>
  <si>
    <t>▪ By project type</t>
  </si>
  <si>
    <t>• Download daily inspections, documents, history of inspections, project file on app.</t>
  </si>
  <si>
    <t>Syncronization of POSSE Mobile occurs at login and can be manually initiated within POSSE Mobile. Permits that are not part of the daily inspections To Do List can be downloaded as needed through a search feature. The related permits that are part of the project can also be accessed via the search; however, the actual project umbrella record is not available from the POSSE Mobile app.</t>
  </si>
  <si>
    <t>• Sync up every morning to allow offline inspections.</t>
  </si>
  <si>
    <t>Syncronization of POSSE Mobile occurs at login and can be manually initiated within the application</t>
  </si>
  <si>
    <t>• Easy and friendly graphical user interface.</t>
  </si>
  <si>
    <t>• Use shortcuts or hot keys to do repetitive tasks.</t>
  </si>
  <si>
    <t>• Ability to view as many records as necessary.</t>
  </si>
  <si>
    <t>• Perform side by view of total inspection list and inspection history.</t>
  </si>
  <si>
    <t>• Provide map features:</t>
  </si>
  <si>
    <t>▪ Plot route</t>
  </si>
  <si>
    <t>▪ Plot stops</t>
  </si>
  <si>
    <t>▪ Adjust order of stops</t>
  </si>
  <si>
    <t>▪ Click on location to get directions</t>
  </si>
  <si>
    <t>• Set inspection time windows and route order on mobile app.</t>
  </si>
  <si>
    <t>• See inspection window on the mobile app.</t>
  </si>
  <si>
    <t>• Display inspections in order on mobile app.</t>
  </si>
  <si>
    <t>• Undisplay inspections per day as they are completed.</t>
  </si>
  <si>
    <t>• Access the project contact list when sending an email or correction list.</t>
  </si>
  <si>
    <t>Staff Portal users can easily access the contact lists by accessing the related records.</t>
  </si>
  <si>
    <t>• Friendly, robust email interface.</t>
  </si>
  <si>
    <t>The implementation of POSSE will use the City's existing POSSE configuration to manage communication, including by making use of existing system-generated email notifications. Emails can be stored as text or files in the POSSE system. POSSE APIs can be used to create an interface that captures all emails sent to a specific address to record all email communication pertaining to an application; effort to build such an interface has been included in this proposal.</t>
  </si>
  <si>
    <t>• Communications to clients are documented.</t>
  </si>
  <si>
    <t>• Review inspection history or documents onsite.</t>
  </si>
  <si>
    <t>• Set inspection limits based on number of stops (inspection permit).</t>
  </si>
  <si>
    <t>Public Works Inspections</t>
  </si>
  <si>
    <t>• Easy to use and intuitive.</t>
  </si>
  <si>
    <t>• Provide timeline for payment. If customer doesn’t pay by a certain time, the software can notify staff and issue fines.</t>
  </si>
  <si>
    <t>Invoices with interest penalties can be used to generate penalty with an aged report for staff notification of late payments.</t>
  </si>
  <si>
    <t>• At the end of the year, place a lien on the property and get funds from taxes. Notify all appropriate departments, customers, and contractors.</t>
  </si>
  <si>
    <t>• Provide and test power outage and failover.</t>
  </si>
  <si>
    <t>Each client is provided with a geographically distinct disaster recovery environment in a Microsoft Azure data center located in close proximity to the client, completely independent of the primary hosting site. As Computronix clients have not indicated a requirement for a fully redundant disaster recovery environment for “live failover” purposes, Computronix currently maintains critical infrastructure and application configuration in both the primary and recovery environments, and replicates all production data stored in the primary environment to the recovery environment on a daily basis (actual replication occurs many times per day to ensure that the recovery point for client data does not exceed four hours). In the event of a catastrophic failure at the primary hosting site, Computronix would coordinate efforts with the client’s staff to reroute client access and networking for primary system interfaces to the disaster recovery environment. In this process, Computronix would ensure that all security compliance and system performance requirements are maintained in the disaster recovery environment so that the client can maintain continuity in conducting its business functions following the recovery process. Computronix also conducts periodic testing (yearly at minimum) to ensure that production data in the disaster recovery environment can effectively be recovered in a timely manner were a disaster to occur.</t>
  </si>
  <si>
    <t>• Correct fee schedule for different types of fire permits, with automated calculations.</t>
  </si>
  <si>
    <t>Please see row 51 note.</t>
  </si>
  <si>
    <t>• Provide consistent 99.99999% systems up time.</t>
  </si>
  <si>
    <t>Please see row 54 note.</t>
  </si>
  <si>
    <t>• Auto-notification when plans are due to staff, provide option to notify the applicant.</t>
  </si>
  <si>
    <t>• Automatically select plan review according to Scope of Work (Toxics, Health).</t>
  </si>
  <si>
    <t>• Open PDF files, of any size, easily and fast in application and mobile app. This is a key function.</t>
  </si>
  <si>
    <t>• Mark up plans with Bluebeam.</t>
  </si>
  <si>
    <t>While POSSE PLS can be integrated with Bluebeam, the proposed solution includes our integrated end-to-end POSSE ePlans functionality. No other solution provides both the seamless integration with the City's functionality and robust plan markup and review features. POSSE ePlans supports the full lifecycle of electronic plans submission, versioning, markup, review, publishing and stamping, and can be tightly integrated with POSSE jobs and workflows.</t>
  </si>
  <si>
    <t>• Automatic saving and system/data integrity ensuring information is saved.</t>
  </si>
  <si>
    <t>• Inspector identify final inspection and automatically finaling the entire permit.</t>
  </si>
  <si>
    <t>• Articulate and adopt a standard naming convention, taxonomy and procedures.</t>
  </si>
  <si>
    <t>• Data validation and mandatory fields.</t>
  </si>
  <si>
    <t>• Track Field inspections hours by permit.</t>
  </si>
  <si>
    <t>• Reporting capabilities that do not require IT staff involvement.</t>
  </si>
  <si>
    <t>• Provide data related to scheduling and tracking of inspections in one place.</t>
  </si>
  <si>
    <t>• Select predefined list of corrections and modify as needed in Fire Permit.</t>
  </si>
  <si>
    <t>• Create Correction Letters.</t>
  </si>
  <si>
    <t>• Assign Plan Examiner and Inspector to the Permit.</t>
  </si>
  <si>
    <t>• Dashboard of items due within an X number of days.</t>
  </si>
  <si>
    <t>• Dashboard to cut across different permit types.</t>
  </si>
  <si>
    <t>• Dashboard to display information about the application.</t>
  </si>
  <si>
    <t>• Dashboard for Fire and every staff member:</t>
  </si>
  <si>
    <t>▪ Supervisor task list</t>
  </si>
  <si>
    <t>▪ Shared task list</t>
  </si>
  <si>
    <t>▪ Individual task list</t>
  </si>
  <si>
    <t>▪ Workflow balancing/resource allocation</t>
  </si>
  <si>
    <t>Customer Portal</t>
  </si>
  <si>
    <t>• Generate job cards, formatted as a Fire Permit Job Card (Permit Number, Address, List of Inspection types.)</t>
  </si>
  <si>
    <t>• Auto generate Job Card and auto notify applicant, available to easily view and download.</t>
  </si>
  <si>
    <t>• Auto-notification to applicant they need to provide signed permit declarations at time of permit issuance/before.</t>
  </si>
  <si>
    <t>• Auto notification with link to Permit Declaration with the application and plans.</t>
  </si>
  <si>
    <t>• Ability for applicant to request an inspection.</t>
  </si>
  <si>
    <t>• See requested and scheduled inspections.</t>
  </si>
  <si>
    <t>• System checklist and notification of required permits correct depending on construction or permit type.</t>
  </si>
  <si>
    <t xml:space="preserve">The Customer Portal provides an intuitive step-wizard style application. Menus and category groupings along with instructional text provide the user details for completing their application. The application process includes mandatory fields and documents types. Additional features can be configured; however, as the scope is not completely clear, this has not been included in cost. Computronix welcomes further discussion.  </t>
  </si>
  <si>
    <t>• Provide auto-notification to customer or assigned inspector when a permit is issued.</t>
  </si>
  <si>
    <t>• Dual factor authentication.</t>
  </si>
  <si>
    <t>• Provide ability for the applicant to request inspections.</t>
  </si>
  <si>
    <t>• Customer uploads required documents selecting City defined file naming conventions.</t>
  </si>
  <si>
    <t>Session 3: Building Permits</t>
  </si>
  <si>
    <t>• Easy friendly and to use</t>
  </si>
  <si>
    <t>• Contemporary Graphical User Interface.</t>
  </si>
  <si>
    <t>• Simplification of essential required information, e.g., like TurboTax.</t>
  </si>
  <si>
    <t>• Functional customer accounts: password resets, accessibility to account information, synchronization and simplification of staff and customer data.</t>
  </si>
  <si>
    <t>• Functionality for City Staff:</t>
  </si>
  <si>
    <t>▪ Permit status</t>
  </si>
  <si>
    <t>▪ Parcel conditions</t>
  </si>
  <si>
    <t>▪ Expiration dates</t>
  </si>
  <si>
    <t>▪ Extensions</t>
  </si>
  <si>
    <t>▪ Access to manipulate documents</t>
  </si>
  <si>
    <t>▪ Automated functionality for workflow:</t>
  </si>
  <si>
    <t>o Notifications (internal and external communications)</t>
  </si>
  <si>
    <t>o Routing</t>
  </si>
  <si>
    <t>o Status</t>
  </si>
  <si>
    <t>o Elapsed time</t>
  </si>
  <si>
    <t>o Assignments</t>
  </si>
  <si>
    <t>o Resulting the workflow</t>
  </si>
  <si>
    <t>o Workflow sequence has to be intuitive</t>
  </si>
  <si>
    <t>• Customer Portal Functionality:</t>
  </si>
  <si>
    <t>▪ Electronic submittals</t>
  </si>
  <si>
    <t>▪ Document uploads and resubmittals</t>
  </si>
  <si>
    <t>▪ Workflow status</t>
  </si>
  <si>
    <t>▪ Expiration</t>
  </si>
  <si>
    <t>▪ Notification to customers</t>
  </si>
  <si>
    <t>▪ Linkage to required forms</t>
  </si>
  <si>
    <t>▪ Consistent information and instructions</t>
  </si>
  <si>
    <t>▪ Online Payments</t>
  </si>
  <si>
    <t>Computronix will integrate with the City's e-payment solution.</t>
  </si>
  <si>
    <t>▪ Inspection scheduling</t>
  </si>
  <si>
    <t>• Solar permits workflow should be automated for submittals, revisions, and resubmittals.</t>
  </si>
  <si>
    <t>• Should pickup parcel conditions.</t>
  </si>
  <si>
    <t>• Provide fully functional document and records management system.</t>
  </si>
  <si>
    <t>POSSE PLS includes some document management capabilities, accepting document uploads associated to business records in both the Customer and Staff Portals.  Documents are archived to the POSSE Archival Document Datastore while still being accessible to end users through the user interface. The POSSE PLS Staff Portal provides the user search capabilities for documentation associated with system records based on searching for that system record (for example, a Permit/Application, Project Name, etc.). Once accessed via the associated system record, the documentation is visible as well. POSSE PLS can integrate with other document management systems.</t>
  </si>
  <si>
    <t>• Ability to rename documents.</t>
  </si>
  <si>
    <t>• Capability for system to put out list of documents for customer to select:</t>
  </si>
  <si>
    <t>▪ Provide direction on document naming.</t>
  </si>
  <si>
    <t>▪ Provide customer a list of required documents for each stage of the permitting process.</t>
  </si>
  <si>
    <t>• Provide an easy method of stamping documents.</t>
  </si>
  <si>
    <t>• Provide ability to automatically or manually assign a naming convention that makes sense for the document:</t>
  </si>
  <si>
    <t>▪ Permit number, address, title of document, date document was created, permit card, date or year it was issued</t>
  </si>
  <si>
    <t>• Ability to calculate correct fees based on the City’s fee schedules, with the flexibility to modify fees.</t>
  </si>
  <si>
    <t>• Automated fees based on type of permit and fee schedule, with the flexibility to modify fees.</t>
  </si>
  <si>
    <t>• Automated routing.</t>
  </si>
  <si>
    <t>• Update the records status automatically with payment.</t>
  </si>
  <si>
    <t>• When a change is made to Permit record data configuration, implemented it to every record in the system.</t>
  </si>
  <si>
    <t>• Provide deferred submittal functionality to document and track deferred submittals throughout the life of the Permit application, (includes service center, plan check, and inspections).</t>
  </si>
  <si>
    <t>• Determine what deferred submittals are due.</t>
  </si>
  <si>
    <t>• Main permit details to reflect in the revision and vice versa for revisions to reflect in the main permit.</t>
  </si>
  <si>
    <t>• Expiration for revisions need to link intuitively into expiration date for original permit.</t>
  </si>
  <si>
    <t>• Intuitive means to relate separate permit records, property reports, and violations to each other.</t>
  </si>
  <si>
    <t>• Create subsequent child records within the main permit record.</t>
  </si>
  <si>
    <t>• Respond to a cross functional agency review plan check process.</t>
  </si>
  <si>
    <t>• Scope of Work of revisions and deferred submittals to appear on permit.</t>
  </si>
  <si>
    <t>• Assign work according to task needed.</t>
  </si>
  <si>
    <t>• Staff to submit electronically through Permit Record the Declarations Request. Customer would submit electronically.</t>
  </si>
  <si>
    <t>• Route to pending payment, plan review, or pending issue:</t>
  </si>
  <si>
    <t>▪ Building &amp; Safety</t>
  </si>
  <si>
    <t>▪ Fire</t>
  </si>
  <si>
    <t>▪ Land use</t>
  </si>
  <si>
    <t>▪ Design Review</t>
  </si>
  <si>
    <t>▪ Landmarks</t>
  </si>
  <si>
    <t>▪ Public Works Engineering</t>
  </si>
  <si>
    <t>▪ Public Works Traffic</t>
  </si>
  <si>
    <t>▪ Environmental Health</t>
  </si>
  <si>
    <t>▪ Toxic Management</t>
  </si>
  <si>
    <t>▪ Waste Management</t>
  </si>
  <si>
    <t>▪ Energy</t>
  </si>
  <si>
    <t>▪ HHCS</t>
  </si>
  <si>
    <t>▪ Ability to add future agencies</t>
  </si>
  <si>
    <t>Session 4: Minor Permits</t>
  </si>
  <si>
    <t xml:space="preserve">• Provide the ability for firms to have multiple staff create an account and be able to search all of them at once. </t>
  </si>
  <si>
    <t>• System validate whether a particular customer has more than one account.</t>
  </si>
  <si>
    <t>Computronix proposes an integration with an authentication provider for Customer Portal users. Without the integration, if an email address is already in use, the user will recieve a message that the email is already in use and to please try a different email address.
Using the integration, end-user accounts are managed via integration with  Azure Active Directory External Identities (Azure Entra External ID) (e.g., Open ID connect/OAuth 2.0 standards). </t>
  </si>
  <si>
    <t>• System ask customer “does your company already have an account? do you already have an account? have you registered before?”</t>
  </si>
  <si>
    <t>Please see row 251 note.</t>
  </si>
  <si>
    <t>• Virtual customer guide leading the customer through a series of questions to determine:</t>
  </si>
  <si>
    <t xml:space="preserve">▪ Minor Permit type, or </t>
  </si>
  <si>
    <t>Please see row 253 note.</t>
  </si>
  <si>
    <t>▪ Standard Permit type:</t>
  </si>
  <si>
    <t>o  Plan Check timeframe</t>
  </si>
  <si>
    <t>o  Plan review needed</t>
  </si>
  <si>
    <t>o  Forms needed</t>
  </si>
  <si>
    <t>• Prevent customers using minor permits for larger projects, provide a drop down for project types/descriptions.</t>
  </si>
  <si>
    <t>• Web Features:</t>
  </si>
  <si>
    <t>• Implement an intuitive web interface.</t>
  </si>
  <si>
    <t xml:space="preserve">• Easy to navigate and accessible click on features. </t>
  </si>
  <si>
    <t>• Comply with ADA and WC3 GUI standards, e.g., large text entry boxes for the visually impaired.</t>
  </si>
  <si>
    <t>POSSE PLS Customer Portal is compliant with WCAG 2.0 Level AA.</t>
  </si>
  <si>
    <t>• Compatible with all leading browsers.</t>
  </si>
  <si>
    <t>• City staff to view the user account from the user standpoint, remotely, sharing screen with the customer.</t>
  </si>
  <si>
    <t>POSSE does not include native screen sharing functionality. This effort has not been included in our proposal. Computronix welcomes further discussion on alternative solutions with the City.</t>
  </si>
  <si>
    <t>• All changes made by customer account are immediately reflected in user information connected to Permits.</t>
  </si>
  <si>
    <t>• Provide ability to see changes to the account.</t>
  </si>
  <si>
    <t>• Limit the options to search for business licenses.</t>
  </si>
  <si>
    <t>• Ability for contractors to enter their State Contractor’s License and Berkeley Business License.</t>
  </si>
  <si>
    <t>An integration to Accela Business Licensing has been included in this proposal.</t>
  </si>
  <si>
    <t>• Checkbox to note “I am a licensed contractor in Berkely and California and I will be doing the work,” a legally binding verification.</t>
  </si>
  <si>
    <t xml:space="preserve">• Dual Factor Authentication to person’s email. (Linked to future Business License System Finance.) </t>
  </si>
  <si>
    <t>Computronix has included effort for the Accela Business License and FUND$ interfaces as presented in this RFP. Future interface effort has not been included in this proposal. Computronix welcomes discussion about further interfaces.</t>
  </si>
  <si>
    <t xml:space="preserve">• Interface to keep the contractor license database current (see interfaces). </t>
  </si>
  <si>
    <t>An integration to the State Contractor's License Board has been included in this proposal.</t>
  </si>
  <si>
    <t xml:space="preserve">• Business licenses record linked to the state license system (see interfaces). </t>
  </si>
  <si>
    <t>• Mobile device interface for scheduling inspections, searching applications, etc.</t>
  </si>
  <si>
    <t>POSSE Mobile can be used for searching application/permit records, etc. and scheduling inspections for the inspector that is logged in.</t>
  </si>
  <si>
    <t xml:space="preserve">• Supports responsive design. </t>
  </si>
  <si>
    <t>The POSSE PLS Customer Portal includes responsive design capabilities.</t>
  </si>
  <si>
    <t>• Provide online payment capability.</t>
  </si>
  <si>
    <t>POSSE PLS relies on the third-party e-payment provider or the third-party Point of Sale system for tokenization, encryption, and other PCI compliant payment processor requirements.</t>
  </si>
  <si>
    <t>• If person registers as a Contractor, they should be required to link to their business license with verification</t>
  </si>
  <si>
    <t xml:space="preserve">• Provide documentation: </t>
  </si>
  <si>
    <t>▪ End user documentation with process descriptions</t>
  </si>
  <si>
    <t>▪ System documentation</t>
  </si>
  <si>
    <t>Session 5: Solar, Energy Storage System, Electrical Vehicle Charging Permits</t>
  </si>
  <si>
    <t>• Validate whether a customer has more than one account.</t>
  </si>
  <si>
    <t>• Put blocks in place to prevent a customer from registering multiple times.</t>
  </si>
  <si>
    <t>• Larger text entry boxes for the visually impaired.</t>
  </si>
  <si>
    <t>• Comply with ADA and WC3 GUI standards.</t>
  </si>
  <si>
    <t>POSSE PLS Customer Portal is complaint with WCAG 2.0 Level AA.</t>
  </si>
  <si>
    <t>• Ability for City staff to view the user account from the user standpoint, remotely, sharing the screen with the customer.</t>
  </si>
  <si>
    <t>Please see row 265 note.</t>
  </si>
  <si>
    <t>• Ability for the back end system to reflect updates to customer account information.</t>
  </si>
  <si>
    <t>• See changes to the customer account.</t>
  </si>
  <si>
    <t>• Prevent customers using minor permits for larger projects.</t>
  </si>
  <si>
    <t>• Contemporary GUI:</t>
  </si>
  <si>
    <t>▪ Easy to use GUI, e.g., navigation. click on features</t>
  </si>
  <si>
    <t>▪ Provide a drop down for project types and descriptions</t>
  </si>
  <si>
    <t>▪ Implement an intuitive web interface</t>
  </si>
  <si>
    <t>• Require applicants to check legally binding verifications.</t>
  </si>
  <si>
    <r>
      <rPr>
        <b/>
        <sz val="12"/>
        <color rgb="FF000000"/>
        <rFont val="Arial"/>
      </rPr>
      <t xml:space="preserve">• </t>
    </r>
    <r>
      <rPr>
        <sz val="12"/>
        <color rgb="FF000000"/>
        <rFont val="Arial"/>
      </rPr>
      <t>Dual Factor Authentication to the person’s email. (In the future, linked to the Business License System Finance is currently procuring.)</t>
    </r>
  </si>
  <si>
    <r>
      <rPr>
        <b/>
        <sz val="12"/>
        <color theme="1"/>
        <rFont val="Arial"/>
        <family val="2"/>
      </rPr>
      <t xml:space="preserve">• </t>
    </r>
    <r>
      <rPr>
        <sz val="12"/>
        <color theme="1"/>
        <rFont val="Arial"/>
        <family val="2"/>
      </rPr>
      <t>Ability to void fees.</t>
    </r>
  </si>
  <si>
    <t>• Online payments.</t>
  </si>
  <si>
    <t>• Ability to assess fees.</t>
  </si>
  <si>
    <t>• Workflow:</t>
  </si>
  <si>
    <t>▪ Automatic routing</t>
  </si>
  <si>
    <t>▪ Auto Notifications:</t>
  </si>
  <si>
    <t>o  City Agencies</t>
  </si>
  <si>
    <t>o  Applicant</t>
  </si>
  <si>
    <t>▪ Reviews</t>
  </si>
  <si>
    <t>▪ Resubmittals</t>
  </si>
  <si>
    <t>▪ Revisions</t>
  </si>
  <si>
    <t>▪ Deferred Submittals</t>
  </si>
  <si>
    <t>▪ Approvals</t>
  </si>
  <si>
    <t>• Intuitive Customer facing portal:</t>
  </si>
  <si>
    <t>▪ Online Submittals</t>
  </si>
  <si>
    <t>▪ Check status</t>
  </si>
  <si>
    <t>▪ Review and download documents</t>
  </si>
  <si>
    <t>▪ Ability to set permissions</t>
  </si>
  <si>
    <t>▪ Payments</t>
  </si>
  <si>
    <t>▪ Ability to issue permits</t>
  </si>
  <si>
    <t>• Route, as appropriate, to pending payment, plan review, or pending issue:</t>
  </si>
  <si>
    <t>Session 6: Fire Permits</t>
  </si>
  <si>
    <t>• Provide correct fee schedule for different types office permits, with automated calculations.</t>
  </si>
  <si>
    <t>• Open PDF files, of any size, easily and fast. This is a key function.</t>
  </si>
  <si>
    <t>Please see row 134 note.</t>
  </si>
  <si>
    <t xml:space="preserve">Please see row 64 note. </t>
  </si>
  <si>
    <t>• Inspector to identify final inspection and automatically finaling the entire permit.</t>
  </si>
  <si>
    <t>• Data validation and Mandatory fields.</t>
  </si>
  <si>
    <t>• Data related to scheduling and tracking of inspections in one place.</t>
  </si>
  <si>
    <t>• Generate job cards, formatted as a Fire Permit Job Card (Permit Number, Address, List of inspection types.)</t>
  </si>
  <si>
    <t>• Auto generate Job Card and auto notify applicant, make it available to easily view and download.</t>
  </si>
  <si>
    <t>• Provide auto-notification to applicant they need to provide signed permit declarations for at the time of permit issuance or before.</t>
  </si>
  <si>
    <t>• Provide ability for applicant to request an inspection.</t>
  </si>
  <si>
    <t>• Ability to see requested and scheduled inspections.</t>
  </si>
  <si>
    <t>• Provide checklist and notification of required permits depending on construction or permit type.</t>
  </si>
  <si>
    <t>• Applicant information should be mandatory fields, ensuring completeness of data.</t>
  </si>
  <si>
    <t>Session 7: Zoning Preliminary Application &amp; Research Letters</t>
  </si>
  <si>
    <t>•  Customer Portal</t>
  </si>
  <si>
    <t>• Submit Online applications submittals (consistent with Building Permit Applications, the same process).</t>
  </si>
  <si>
    <t>▪ Dual factor authentication.</t>
  </si>
  <si>
    <t>• Make appropriate documents viewable to the public.</t>
  </si>
  <si>
    <t>• Permit tracking automation.</t>
  </si>
  <si>
    <t>• Contemporary Graphical User Interface (GUI), e.g., pick lists, check boxes, etc.</t>
  </si>
  <si>
    <t>• Automated naming provided by the system.</t>
  </si>
  <si>
    <t>▪ Ability to insert links to project files.</t>
  </si>
  <si>
    <t>• Auto notification of payment to staff, display on a dashboard.</t>
  </si>
  <si>
    <t>• Ability to capture new projects, and related data.</t>
  </si>
  <si>
    <t>• Automated notices to applicant with the project description, assigned planner, and due date.</t>
  </si>
  <si>
    <t>• Automate invoicing to the applicant.</t>
  </si>
  <si>
    <t>• Workflow Automation:</t>
  </si>
  <si>
    <t>▪ Auto notifications</t>
  </si>
  <si>
    <t>▪ Status tracking</t>
  </si>
  <si>
    <t>▪ Reminders: to planners and applicants</t>
  </si>
  <si>
    <t>▪ Visual cues to highlight past due activities</t>
  </si>
  <si>
    <t>▪ Approval</t>
  </si>
  <si>
    <t>• Ability to add different reviewers.</t>
  </si>
  <si>
    <t>• Add checkboxes to differentiate project / preapplication types.</t>
  </si>
  <si>
    <t>Applicant selects from a list of available presubmittal types.</t>
  </si>
  <si>
    <t>• Field for vesting dates.</t>
  </si>
  <si>
    <t>• Land Use data information entered by applicant or planner.</t>
  </si>
  <si>
    <t>• Resource Allocation:</t>
  </si>
  <si>
    <t>▪ Assign application</t>
  </si>
  <si>
    <t>▪ Reassign applications</t>
  </si>
  <si>
    <t>• Automatically change status when fees are paid.</t>
  </si>
  <si>
    <t>• Check for missing projects.</t>
  </si>
  <si>
    <t>• If incomplete, send auto Corrections Letter.</t>
  </si>
  <si>
    <t>• Ability to produce and store template letters.</t>
  </si>
  <si>
    <t>• Auto notification to the Applicant of complete or incomplete applications.</t>
  </si>
  <si>
    <t>• Produce Form Letters with variable data.</t>
  </si>
  <si>
    <t>• Insert deadline dates based state laws, on legal and policy standards, editable by staff.</t>
  </si>
  <si>
    <t>• Link related application that is associated with that specific project.</t>
  </si>
  <si>
    <t>• Create a Project Log:</t>
  </si>
  <si>
    <t>▪ Application number</t>
  </si>
  <si>
    <t>▪ Application Type</t>
  </si>
  <si>
    <t>▪ Large/Complex Project, Yes or No</t>
  </si>
  <si>
    <t>▪ Density Bonus</t>
  </si>
  <si>
    <t>▪ Address</t>
  </si>
  <si>
    <t>▪ Applicant information</t>
  </si>
  <si>
    <t>▪ Residential or Commercial</t>
  </si>
  <si>
    <t>▪ Project Description</t>
  </si>
  <si>
    <t>▪ Date received</t>
  </si>
  <si>
    <t>▪ Review needed</t>
  </si>
  <si>
    <t>▪ CEQA Status</t>
  </si>
  <si>
    <t>▪ Planner Assigned</t>
  </si>
  <si>
    <t>▪ Date deemed complete</t>
  </si>
  <si>
    <t>▪ Date of Public Hearing</t>
  </si>
  <si>
    <t>▪ Date of final action</t>
  </si>
  <si>
    <t>▪ Date of NOD</t>
  </si>
  <si>
    <t>▪ Submittal Online or In Person</t>
  </si>
  <si>
    <t>• Utilize required fields where appropriate.</t>
  </si>
  <si>
    <t>Session 8: Zoning Certificate Business License &amp; Zoning Certificate Home Occupation</t>
  </si>
  <si>
    <t>Permit Tracking Software</t>
  </si>
  <si>
    <t>• Provide an online application.</t>
  </si>
  <si>
    <t>• Applicants will have a primary account to communicate with City staff.</t>
  </si>
  <si>
    <t>• Provide online application that visually matches the backend used by the City, the GUI.</t>
  </si>
  <si>
    <t xml:space="preserve">POSSE allows for fields to share the same naming convention between the Customer and Staff Portal. Additional configuration could be done to have the location of staff portal fields more closely match the customer portal. </t>
  </si>
  <si>
    <t>• Upload documents easily via the customer portal.</t>
  </si>
  <si>
    <t>• Visually make all Zoning applications noticeable on portal.</t>
  </si>
  <si>
    <t>• Provide a contemporary Graphical User Interface (GUI).</t>
  </si>
  <si>
    <t>• Make it easy to log into the permitting system.</t>
  </si>
  <si>
    <t>• Prevent single users from creating multiple accounts.</t>
  </si>
  <si>
    <t>• Communicate in both directions in the new system.</t>
  </si>
  <si>
    <t>• Workflow Automation functionality:</t>
  </si>
  <si>
    <t>▪ Automatic acknowledgements</t>
  </si>
  <si>
    <t>▪ Automatic notifications</t>
  </si>
  <si>
    <t>▪ Workload Management</t>
  </si>
  <si>
    <t>▪ Identify projects with new uploads</t>
  </si>
  <si>
    <t>▪ Status notification to applicants</t>
  </si>
  <si>
    <t>▪ Track Status</t>
  </si>
  <si>
    <t>▪ Comments</t>
  </si>
  <si>
    <t>• Automatic invoice generation.</t>
  </si>
  <si>
    <t>• Automatic notice of payment.</t>
  </si>
  <si>
    <t>• Provide communication between applicant and City staff.</t>
  </si>
  <si>
    <t>• Provide two way communication, with Zoning Certificates viewable by all staff.</t>
  </si>
  <si>
    <t>• Video showing applicants how to navigate the system.</t>
  </si>
  <si>
    <t>The POSSE Customer Portal provides an intuivite experience that Computronix has often found does not benefit from tutorial videos. Computronix has created videos for a number of clients in the past that have requested such. Due to the greatly varying nature and scope such videos can entail effort has not been included in this proposal. However, Computronix welcomes further dicusssion about creating videos.</t>
  </si>
  <si>
    <t>• User friendly system, with a contemporary Graphical User Interface.</t>
  </si>
  <si>
    <t>• Supports all major file formats.</t>
  </si>
  <si>
    <t>• Validate the submittal and provide a message to the customer they are missing required documents.</t>
  </si>
  <si>
    <t>• Automatic notifications and emails.</t>
  </si>
  <si>
    <t>• Template notifications and emails that are tailorable.</t>
  </si>
  <si>
    <t>• Store all information in a common space, and is easily accessible.</t>
  </si>
  <si>
    <t>• Automatic acknowledgements</t>
  </si>
  <si>
    <t>▪ Automatic notifications and emails</t>
  </si>
  <si>
    <t>▪ Workload management</t>
  </si>
  <si>
    <t>▪ Applications with uploads</t>
  </si>
  <si>
    <t>▪ Status in the process</t>
  </si>
  <si>
    <t>▪ Reminders to staff</t>
  </si>
  <si>
    <t>• Provide central location to store and manage documents related to any project.</t>
  </si>
  <si>
    <t>• Provide ability for applicants to upload documents.</t>
  </si>
  <si>
    <t xml:space="preserve">• Create a finished approved form or certificate. </t>
  </si>
  <si>
    <t>• Universal form incorporating data requirements for the following:</t>
  </si>
  <si>
    <t>▪ Zoning Certificate Application</t>
  </si>
  <si>
    <t>▪ ZCHO Application Online</t>
  </si>
  <si>
    <t>▪ ZCBL Application Online</t>
  </si>
  <si>
    <t>Session 8, 9, 10: Zoning Cert. Bus. Lic &amp; Zoning Cert. Home Occ/ Short Term Rental/ ADUs, Building Permit Appl., Misc, &amp; Transfer</t>
  </si>
  <si>
    <t>• Customer Portal</t>
  </si>
  <si>
    <t>• Provide ability to upload documents easily via the customer portal.</t>
  </si>
  <si>
    <t>• Provide ability to communicate in both directions in the new system.</t>
  </si>
  <si>
    <t>• Provide workflow automation functionality:</t>
  </si>
  <si>
    <t>▪ Status</t>
  </si>
  <si>
    <t>Session 9: Zoning Certificate Short Term Rental</t>
  </si>
  <si>
    <t>• Provide video showing applicants how to navigate the system.</t>
  </si>
  <si>
    <t>Please see row 480 note.</t>
  </si>
  <si>
    <t>• Provide automatic notifications and emails.</t>
  </si>
  <si>
    <t>• Provide template notifications and emails that are tailorable.</t>
  </si>
  <si>
    <t>• Provide workflow automation:</t>
  </si>
  <si>
    <t>• Close out the Zoning portion first, then have the Rent Board do their review.</t>
  </si>
  <si>
    <t>• Provide reminders to Rent Board.</t>
  </si>
  <si>
    <t>Session 10: Zoning Certificates for ADUs, Building Permit Application, Miscellaneous, &amp; Transfer</t>
  </si>
  <si>
    <t>• Provide workflow capability:</t>
  </si>
  <si>
    <t>▪ Track status</t>
  </si>
  <si>
    <t>• Create a finished approved form or certificate.</t>
  </si>
  <si>
    <t>Session 11: Zoning Permit</t>
  </si>
  <si>
    <t>• Zoning Permits</t>
  </si>
  <si>
    <t>• Online Zoning applications for all permit types:</t>
  </si>
  <si>
    <t>▪ Zoning Permits</t>
  </si>
  <si>
    <t>▪ Design Review Permits</t>
  </si>
  <si>
    <t>▪ Landmark Permits</t>
  </si>
  <si>
    <t>▪ Zoning Certificates</t>
  </si>
  <si>
    <t>▪ Preliminary Applications</t>
  </si>
  <si>
    <t>▪ Zoning Research</t>
  </si>
  <si>
    <t>• Ability for applicant to upload documents.</t>
  </si>
  <si>
    <t>• Staff and applicant access to applicant data and documents via portal.</t>
  </si>
  <si>
    <t>• Ability for applicant to upload resubmittals.</t>
  </si>
  <si>
    <t>• Automated communications to the applicant, e.g.:</t>
  </si>
  <si>
    <t>▪ Confirmation of receipt</t>
  </si>
  <si>
    <t>▪ Invoices</t>
  </si>
  <si>
    <t>▪ Incomplete Letter</t>
  </si>
  <si>
    <t>▪ Request for additional info</t>
  </si>
  <si>
    <t>• Land Use data entries, e.g.:</t>
  </si>
  <si>
    <t>▪ Zoning</t>
  </si>
  <si>
    <t>▪ Number of units and types</t>
  </si>
  <si>
    <t>▪ Existing and proposed uses</t>
  </si>
  <si>
    <t>▪ Affordability levels</t>
  </si>
  <si>
    <t>• Able to relate permits, e.g., zoning permit and design review permit.</t>
  </si>
  <si>
    <t>• Ability to clone permit records and data.</t>
  </si>
  <si>
    <t>Building Permits can be cloned through the use of the Master Plan feature.</t>
  </si>
  <si>
    <t>• Provide functionality for staff to track data:</t>
  </si>
  <si>
    <t>▪ New applications</t>
  </si>
  <si>
    <t>▪ Planner assignments</t>
  </si>
  <si>
    <t>▪ Application status</t>
  </si>
  <si>
    <t>▪ Land Use data (# of units)</t>
  </si>
  <si>
    <t>▪ Approved projects</t>
  </si>
  <si>
    <t>• Useful reports, dashboards, etc.</t>
  </si>
  <si>
    <t>• Applicant pay application fee when they submit.</t>
  </si>
  <si>
    <t>• Application with Contemporary Graphical User Interface:</t>
  </si>
  <si>
    <t>▪ Fillable checkboxes</t>
  </si>
  <si>
    <t>▪ Picklists</t>
  </si>
  <si>
    <t>▪ Radio buttons</t>
  </si>
  <si>
    <t>▪ Drop downs</t>
  </si>
  <si>
    <t>• Capture different review stages and statuses within each review stage.</t>
  </si>
  <si>
    <t>• Add tracking or workflows for other departments or agencies.</t>
  </si>
  <si>
    <t>• Generate mailing list.</t>
  </si>
  <si>
    <t>• Provide help bubbles/helpful hints.</t>
  </si>
  <si>
    <t>• Assign naming conventions digital documents.</t>
  </si>
  <si>
    <t>• Single-source of applicant entry via the portal with auto notification to city staff of the upload and permit tracking.</t>
  </si>
  <si>
    <t>• User friendly or intuitive interface for the public.</t>
  </si>
  <si>
    <t>• Add time tracking to project review workflows.</t>
  </si>
  <si>
    <t>• Invoice project fees.</t>
  </si>
  <si>
    <t>• Produce public documents, e.g., Public Notices, Record Specific data, Mailing List.</t>
  </si>
  <si>
    <t>• Store and manage documents, employing a standard naming convention and taxonomy.</t>
  </si>
  <si>
    <t>• Task List and Shared Task List.</t>
  </si>
  <si>
    <t>• Store draft documents.</t>
  </si>
  <si>
    <t>• Capture hearing dates and appeal periods so they are publicly viewable.</t>
  </si>
  <si>
    <t>• Provide Public transparency, consistent visible milestones/status, and access to public permit documents.</t>
  </si>
  <si>
    <t>• Land Use data tracking for reporting.</t>
  </si>
  <si>
    <t>• Capture or document different review types, e.g.:</t>
  </si>
  <si>
    <t>▪ Landmark demolition referral</t>
  </si>
  <si>
    <t>▪ Affordable Housing Review</t>
  </si>
  <si>
    <t>▪ Consultants</t>
  </si>
  <si>
    <t>▪ Peer Review</t>
  </si>
  <si>
    <t>Session 12: Land Management (NO TO-BE)</t>
  </si>
  <si>
    <t>Maps 8, 9, and 10 were combined.</t>
  </si>
  <si>
    <t>N/A</t>
  </si>
  <si>
    <t>Session 13: Landmark Preservation (NO WORKSHOP)</t>
  </si>
  <si>
    <t>LEFT BLANK INTENTIONALLY. Not part of RFP</t>
  </si>
  <si>
    <t>Session 14: Use Permits</t>
  </si>
  <si>
    <t>• Online application.</t>
  </si>
  <si>
    <t>• Applicant to pay application fee when they submit.</t>
  </si>
  <si>
    <t>• Contemporary Graphical User Interface:</t>
  </si>
  <si>
    <t>• Workflows tracking for other departments or agencies.</t>
  </si>
  <si>
    <t>• Track CEQA milestones in Permit software.</t>
  </si>
  <si>
    <t>• Automation to pull project information from Permit software when creating notices.</t>
  </si>
  <si>
    <t>• Consistent milestones for public hearings and notices.</t>
  </si>
  <si>
    <t>• Better training.</t>
  </si>
  <si>
    <t>• Cultural buy-in.</t>
  </si>
  <si>
    <t>• Build quality check into offline processes.</t>
  </si>
  <si>
    <t>• Need more user friendly or intuitive interface for the public.</t>
  </si>
  <si>
    <t>• Tracked with project as a required review</t>
  </si>
  <si>
    <t>• Functionality to note required reviews.</t>
  </si>
  <si>
    <t>• Functionality to note what has been completed and approved.</t>
  </si>
  <si>
    <t>Session 15: P Permits</t>
  </si>
  <si>
    <t>• Easy to use ans user friendly.</t>
  </si>
  <si>
    <t>• Contemporary graphical user interface.</t>
  </si>
  <si>
    <t>• Customer Portal:</t>
  </si>
  <si>
    <t>▪ Ability for customers to email the city through the portal.</t>
  </si>
  <si>
    <t>When a user logs into the Customer Portal, the list of their activity is displaying in the My Activity tab. When there are actions that can be taken, a hyper link will appear with the name of the action. For example, a user may see a "Additional Information Requested" link from the list view. Selecting the link will bring up the application view with comments form the Staff Portal displayed for the Applicant. This reduces the applicants need to email the city; however, as the applicant responds to the request, staff can receive email notifications regarding that response.</t>
  </si>
  <si>
    <t>• Invoice accessible to user in the Public Portal Permit Record.</t>
  </si>
  <si>
    <t>• Smart form that expands with each selection.</t>
  </si>
  <si>
    <t>• Only display information relevant to the permit type selected.</t>
  </si>
  <si>
    <t>• Rename documents.</t>
  </si>
  <si>
    <t>• Easy method of stamping documents.</t>
  </si>
  <si>
    <t>• Automatically or manually assign a naming convention that makes sense for the document:</t>
  </si>
  <si>
    <t>• Calculate correct fees based on the City’s fee schedules, with the flexibility to modify fees.</t>
  </si>
  <si>
    <t>• Automated based on type of permit and fee schedule, with the flexibility to modify fees.</t>
  </si>
  <si>
    <t>• Develop standards and training.</t>
  </si>
  <si>
    <t>• More form fields in the record that helps calculate the fees, e.g., enter the number of spaces, duration, and meters to have the system automatically calculate the fees for parking.</t>
  </si>
  <si>
    <t>• Automated notification/reporting that plans are routed from Permit Service Center to Plan Checkers.</t>
  </si>
  <si>
    <t>• A queue of pending plan reviews (shared worklists or worklists).</t>
  </si>
  <si>
    <t>• Form functionality to input and extend the expiration.</t>
  </si>
  <si>
    <t>• Communications:</t>
  </si>
  <si>
    <t>▪ Automated email notification to customer.</t>
  </si>
  <si>
    <t>▪ Email correspondence from the customer will be:</t>
  </si>
  <si>
    <t>o Correlated to the person assigned to that application.</t>
  </si>
  <si>
    <t>o Ability to send mass emails</t>
  </si>
  <si>
    <t>o Have all emails related to a permit stored with that Permit or relevant record in the system.</t>
  </si>
  <si>
    <t>Using the "request additional information" process allows all communication with applicants to be stored by POSSE without the need for email.</t>
  </si>
  <si>
    <t>o When an email comes in on a Permit, staff are notified. System notifies the city that a response has been received.</t>
  </si>
  <si>
    <t>Using the "request additional information" process allows all communication with applicants to trigger notification without the need for email.</t>
  </si>
  <si>
    <t>o Subject line in email will have the permit number.</t>
  </si>
  <si>
    <t>Using the "request additional information" process allows all communication with applicants to happen on a per application basis and include the permit number without the need for email.</t>
  </si>
  <si>
    <t>• Print expiration on Permit Card.</t>
  </si>
  <si>
    <t>• Assign typical expiration dates by permit types.</t>
  </si>
  <si>
    <t>• When a change is made to Permit record data configuration, it needs to be implemented to every record in the system.</t>
  </si>
  <si>
    <t>• Revisions should follow B Permit process.</t>
  </si>
  <si>
    <t>• Form functionality. Fields that could be checked to explain or identify what the revision is for.</t>
  </si>
  <si>
    <t>• Ability to respond to a cross functional agency review plan check process.</t>
  </si>
  <si>
    <t>• Memorialize the plan check sequence and activities in a workflow task list.</t>
  </si>
  <si>
    <t>• Scope of work of revisions and deferred submittals to appear on permit.</t>
  </si>
  <si>
    <t>• Easy and fast way to calculate fees.</t>
  </si>
  <si>
    <t>• Unique permit cards specific to different permit types.</t>
  </si>
  <si>
    <t>• Review GIS information in PS to determine routing.</t>
  </si>
  <si>
    <t>• PS limits document types (PDFs) customer can upload.</t>
  </si>
  <si>
    <t>• Use upload links to request specific documents in PS.</t>
  </si>
  <si>
    <t>Session 16: Permitting Fees, Payments, &amp; Refunds</t>
  </si>
  <si>
    <t>• Configure to calculate fees correctly.</t>
  </si>
  <si>
    <t>• Configure fees correctly when it is associated and dependent on other corrected Fees.</t>
  </si>
  <si>
    <t>• After a correction is made to a fee schedule error, apply the correction to a defined set of permits.</t>
  </si>
  <si>
    <t>• Correct or regenerate invoices.</t>
  </si>
  <si>
    <t>• If there is an invoice error, be able to fix the error and re-invoice with the correct amount.</t>
  </si>
  <si>
    <t>• Organize fees by permit types and fee item.</t>
  </si>
  <si>
    <t>• Use same organization and layout across all fee schedules.</t>
  </si>
  <si>
    <t>• Provide simplified updated fee history and payment history:</t>
  </si>
  <si>
    <t>▪ Who added the fee</t>
  </si>
  <si>
    <t>▪ Who invoiced the fee</t>
  </si>
  <si>
    <t>▪ Who voided the fee</t>
  </si>
  <si>
    <t>▪ Any type of movement</t>
  </si>
  <si>
    <t>▪ Filter out what staff does not want to see</t>
  </si>
  <si>
    <t>▪ Who voided a payment</t>
  </si>
  <si>
    <t>▪ Who refunded a payment</t>
  </si>
  <si>
    <t>▪ Who applied a payment</t>
  </si>
  <si>
    <t>▪ Fee adjustments, e.g., waiving of fees</t>
  </si>
  <si>
    <t>▪ Agreements</t>
  </si>
  <si>
    <t>• Account for deferred payment agreements, including interest where applicable.</t>
  </si>
  <si>
    <t>• Issue a permit and/or final a permit when not fully paid on senior management approval.</t>
  </si>
  <si>
    <t>• Issue a permit when not fully paid on senior management approval.</t>
  </si>
  <si>
    <t>• Ability for human intervention, make corrections or revisions as required to fix system errors.</t>
  </si>
  <si>
    <t>• Senior staff in the department the authority to override when necessary.</t>
  </si>
  <si>
    <t>• Clarity on the permit record and fee item the AJ is paying for.</t>
  </si>
  <si>
    <t>• Robust and flexible adjusted journal payment system, notification of all levels of authorization required and reasons for adjustment.</t>
  </si>
  <si>
    <t>• Track one time payments with a record in the system.</t>
  </si>
  <si>
    <t>• Consistent and flexible user groups/access rights and easy to update permission limitations to staff.</t>
  </si>
  <si>
    <t>• Workflow automation and auto notification when a payment is made.</t>
  </si>
  <si>
    <t>• Option to pay one invoice at a time, for online payments.</t>
  </si>
  <si>
    <t>• Automated status updates with customer payment.</t>
  </si>
  <si>
    <t>• Automatic receipts to customers and/or view and printing access.</t>
  </si>
  <si>
    <t>• Create and export text files without involving IT.</t>
  </si>
  <si>
    <t>• Automate posting of refund fees to the correct account.</t>
  </si>
  <si>
    <t>• Ability to do partial refunds.</t>
  </si>
  <si>
    <t>• Functionality to prevent a certain type of payment.</t>
  </si>
  <si>
    <t>• Limit payment options.</t>
  </si>
  <si>
    <t>• Flag a record for additional payment limitations.</t>
  </si>
  <si>
    <t>• Ability for Treasury to notify Permit Service Center of return issues, charge backs, errors, unrecorded deposits.</t>
  </si>
  <si>
    <t>• Ability for the system to close the cashiering session automatically when a user logs out of the computer.</t>
  </si>
  <si>
    <t xml:space="preserve">Computronix proposes an interface to a POS (Point of Sales) system to handle cashiering functionality. The assumption is that this system could be ERMA which currently handles the Citywide Accounts Receivable (based on the response in Addendum C item 15) or a different Cashiering System. POSSE includes very basic cashiering functionality, thus a more robust POS system integration has been proposed. </t>
  </si>
  <si>
    <t>Session 17: Utility Permits</t>
  </si>
  <si>
    <t>Permitting Software (PS)</t>
  </si>
  <si>
    <t>• Rename documents inhouse.</t>
  </si>
  <si>
    <t>• Fields in the record that automatically calculates the fees.</t>
  </si>
  <si>
    <t>• Customer to select an individual partial payment.</t>
  </si>
  <si>
    <t>• Data validation, so that correct amount of payment is being entered into the system.</t>
  </si>
  <si>
    <t xml:space="preserve">• Option to pay one invoice at a time, for online payments. </t>
  </si>
  <si>
    <t>• Automatic receipts to customers or view and download access.</t>
  </si>
  <si>
    <t>• Scope of work of revisions and deferred submittals to appear on permit, as attachments and dates.</t>
  </si>
  <si>
    <t>• When an updated permit card is issued, the new expiration date is shown.</t>
  </si>
  <si>
    <t>Session 18: Landmark Initiation &amp; Designation</t>
  </si>
  <si>
    <t>• Implement workflow automation:</t>
  </si>
  <si>
    <t>▪ Review</t>
  </si>
  <si>
    <t>▪ Track Changes</t>
  </si>
  <si>
    <t>• Implement a public portal.</t>
  </si>
  <si>
    <t>• Calendaring and coordination of key dates, open hearing in 70 days per ordinance.</t>
  </si>
  <si>
    <t xml:space="preserve">• Opportunity to correct entries and/or errors, e.g., data entry, human error. </t>
  </si>
  <si>
    <t xml:space="preserve">• Erase with certain end user privileges. </t>
  </si>
  <si>
    <t>• User friendly.</t>
  </si>
  <si>
    <t>• Software with a contemporary graphical user interface and navigation.</t>
  </si>
  <si>
    <t>Session 19: Business License Interactions (No To-Be Held)</t>
  </si>
  <si>
    <t>NA  This is a future system</t>
  </si>
  <si>
    <t>Session 20: Landmark Preservation (LP) Structural Alteration</t>
  </si>
  <si>
    <t>• Provide an online permit application feature.</t>
  </si>
  <si>
    <t>• Clear website instructions.</t>
  </si>
  <si>
    <t>• System minimizing the number of separate systems utilized.</t>
  </si>
  <si>
    <t xml:space="preserve">• Store the Landmark inventory  database. </t>
  </si>
  <si>
    <t>• Document storage and records management capabilities, e.g., microfiche, property cards, photographs, related documents, etc.</t>
  </si>
  <si>
    <t>• Support a standard taxonomy to establish consistent information storage and access.</t>
  </si>
  <si>
    <t>• Integration with GIS.</t>
  </si>
  <si>
    <t>• Edit and update landmark properties, ensuring GIS database is current.</t>
  </si>
  <si>
    <t>• Staff assignment capability for Landmarks projects.</t>
  </si>
  <si>
    <t>• Provide workflow automation.</t>
  </si>
  <si>
    <t>Session 21: Cashiering and Reconciliation</t>
  </si>
  <si>
    <t>• All payment types to have the same functionality so staff can properly process checks, charge backs, refunds, corrections and create a permit record for payments.</t>
  </si>
  <si>
    <t>Electronic payments (credit cards, debit cards) require integration to a third party payment processor. Please see row 276 note.</t>
  </si>
  <si>
    <t>• Create a fully functional record for point of sale payments.</t>
  </si>
  <si>
    <t xml:space="preserve">Something like this can typically be addressed through the support team, depending on the context of the correction that needs to be done.  This type of problem is typically not an issue as there are options in place such as making fee changes to the test environment first before deploying those changes to production. </t>
  </si>
  <si>
    <t>• Ability to change, correct, and adjust POS payments.</t>
  </si>
  <si>
    <t>• Tracking of documents and checks submitted to cashier.</t>
  </si>
  <si>
    <t>Please see row 822 note.</t>
  </si>
  <si>
    <t>• Consistent mechanisms for payment processing for different payment types:</t>
  </si>
  <si>
    <t>▪ Cash</t>
  </si>
  <si>
    <t>▪ Check</t>
  </si>
  <si>
    <t>▪ Online</t>
  </si>
  <si>
    <t>▪ One time payments</t>
  </si>
  <si>
    <t>• Option to process partial payments.</t>
  </si>
  <si>
    <t>• Clear and simple categorization and fee codes for fee schedules with easy to read GUI.</t>
  </si>
  <si>
    <t>• Enable updated fee history to show all changes and updates or to limit view by type of change: who added the fee, who invoiced the fee, who voided the fee.</t>
  </si>
  <si>
    <t>POSSE includes audit logging for every data change in the system, including the date, time, and the user who made the change. Searches can also be configured to view specific information as required</t>
  </si>
  <si>
    <t>• Enable updated payment history to show all changes and updates or to limit view by type of change: who processed, applied, voided, or refunded the payment.</t>
  </si>
  <si>
    <t>• Provide capacity for human intervention.</t>
  </si>
  <si>
    <t>• Calculate correct fees based on the City’s fee schedules.</t>
  </si>
  <si>
    <t>• Ability for human intervention, make corrections or revisions as required to fix system errors, provide staff in the department the authority to override when necessary.</t>
  </si>
  <si>
    <t>• Populate fees correctly, automated, based on the type of permit and fee schedule.</t>
  </si>
  <si>
    <t>• Create text files without involving IT.</t>
  </si>
  <si>
    <t>• Create text files and electronically upload them to FUND$ (stored procedure to do automatically).</t>
  </si>
  <si>
    <t xml:space="preserve">An integration with FUND$ has been included in this proposal. </t>
  </si>
  <si>
    <t>• Provide built in step-by-step end user guidance and prompts.</t>
  </si>
  <si>
    <t>• Close the cashiering session automatically when a user logs out of the computer.</t>
  </si>
  <si>
    <t>• Provide over/short function.</t>
  </si>
  <si>
    <t>• User friendly cash balancing and reporting functionality.</t>
  </si>
  <si>
    <t>• Pay an individual invoice.</t>
  </si>
  <si>
    <t>• Effective and clear organization of fees when processing a payment.</t>
  </si>
  <si>
    <t>• User friendly contemporary GUI.</t>
  </si>
  <si>
    <t>• Have clarity on the permit record and fee item the Adjusted Journal is paying for.</t>
  </si>
  <si>
    <t>• Transfer online payments directly to Permit software.</t>
  </si>
  <si>
    <t>• Payment limitations should be consistent between Permit software and ACI.</t>
  </si>
  <si>
    <t>• Intuitive and financially correct connection between voiding fees, voiding payments, and processing refunds.</t>
  </si>
  <si>
    <t>• Option for customers to pay one invoice at a time, for online payments.</t>
  </si>
  <si>
    <t>• Option for customers to access all invoices individually on a permit.</t>
  </si>
  <si>
    <t>• Automatic receipts to customers or view and printing access.</t>
  </si>
  <si>
    <t>• Calendaring: to overlay calendar with CIP maps.</t>
  </si>
  <si>
    <t>An integration with Outlook has been included in this proposal. Computronix proposes that the Outlook product be used to handle this requirement in conjunction with Esri mapping functionality. Additionally, POSSE Ad Hoc offers map-based reports for summary level reporting. Computronix welcomes further conversation to understand how POSSE can be used to accomplish this.</t>
  </si>
  <si>
    <t>Session 22: Landmark Preservation (LP) Mills Act</t>
  </si>
  <si>
    <t>▪ Create a detailed workflow for this process</t>
  </si>
  <si>
    <t>▪ Monitor Inspections</t>
  </si>
  <si>
    <t>▪ Issue auto-reminders for 5 Year inspections</t>
  </si>
  <si>
    <t>▪ Resource allocation/staff assignment</t>
  </si>
  <si>
    <t>▪ Automatic emails</t>
  </si>
  <si>
    <t>▪ Ticklers (complete a task by a certain date)</t>
  </si>
  <si>
    <t>• Provide prompts to help guide staff through the process.</t>
  </si>
  <si>
    <t>• Inspections:</t>
  </si>
  <si>
    <t>▪ Schedule inspections</t>
  </si>
  <si>
    <t>▪ Document inspections</t>
  </si>
  <si>
    <t>▪ Close inspections</t>
  </si>
  <si>
    <t>Session 23: Oversized Load Permit</t>
  </si>
  <si>
    <t>• Direct applicants to application walkthrough PDF on the city website on the Heavy Truck Restrictions page.</t>
  </si>
  <si>
    <t>• Provide a user friendly interface for public users in the Permitting Software.</t>
  </si>
  <si>
    <t>• Provide prompts to guide users.</t>
  </si>
  <si>
    <t>• Online interface for entering application and also Adobe PDF application form that can be printed.</t>
  </si>
  <si>
    <t>• Applicant Email shall be a required field in the Permits Portal.</t>
  </si>
  <si>
    <t>• Add a unique sequential identifier number to each permit application submitted.</t>
  </si>
  <si>
    <t>• Provide an electronic form that is revisable.</t>
  </si>
  <si>
    <t>• When an invoice is sent, the system will send an automatic email notification.</t>
  </si>
  <si>
    <t>• When an invoice has been paid, the system will send an automatic notification email to Transportation Engineer.</t>
  </si>
  <si>
    <t>• Once staff upload the approved permit, send an automatic notification to applicant.</t>
  </si>
  <si>
    <t>• Electronic approval and e-signatures.</t>
  </si>
  <si>
    <t>e-signatures are available within any workflow process using word merge templates and using stamps within ePlans (electronic plan review).  Additional configuration could be done but has not been included in this proposal.</t>
  </si>
  <si>
    <t>• Oversize Load destination information.</t>
  </si>
  <si>
    <t>Session 24: Public Works - Plan Check (No To-Be Held)</t>
  </si>
  <si>
    <t>LEFT BLANK INTENTIONALLY. Not part of RFP.</t>
  </si>
  <si>
    <t>Session 25: Public Works - Inspections</t>
  </si>
  <si>
    <t>•  Intuitive software.</t>
  </si>
  <si>
    <t>•  Timeline for payments. If customer doesn’t pay by 30 days or configured tineline, software can notify staff and issue fines.</t>
  </si>
  <si>
    <t>•  At the end of the year, place a lien on the property and get funds from taxes. Notify all appropriate departments, customers, and contractors.</t>
  </si>
  <si>
    <t>•  Auto notification sent to contact person(s) based on specific permit.</t>
  </si>
  <si>
    <t>•  Customer portal:</t>
  </si>
  <si>
    <t>•  Easy to use</t>
  </si>
  <si>
    <t>•  Schedule inspections</t>
  </si>
  <si>
    <t>•  Check status of scheduled inspection</t>
  </si>
  <si>
    <t>•  Revise scheduled inspection date</t>
  </si>
  <si>
    <t>•  Must support mobile devices.</t>
  </si>
  <si>
    <t>•  Support responsive design.</t>
  </si>
  <si>
    <t>•  Provide ability to document inspection results:</t>
  </si>
  <si>
    <t>• Approved</t>
  </si>
  <si>
    <t>• Canceled</t>
  </si>
  <si>
    <t>• Denied</t>
  </si>
  <si>
    <t>• Partial</t>
  </si>
  <si>
    <t>• Not ready</t>
  </si>
  <si>
    <t>• Site cancellation</t>
  </si>
  <si>
    <t>• Not ready – assess fee</t>
  </si>
  <si>
    <t>• Denied – assess fee</t>
  </si>
  <si>
    <t>• Approved for 7 years final</t>
  </si>
  <si>
    <t>• Approved for 7 years final inspection needed</t>
  </si>
  <si>
    <t>• Approved for 20 years final</t>
  </si>
  <si>
    <t>• Approved for 20 years final inspection needed</t>
  </si>
  <si>
    <t>•  Address various types of Inspections:</t>
  </si>
  <si>
    <t>▪  Concrete</t>
  </si>
  <si>
    <t>▪  Asphalt</t>
  </si>
  <si>
    <t>▪  Trenches</t>
  </si>
  <si>
    <t>▪  Sewer/Storm</t>
  </si>
  <si>
    <t>▪  Utilities</t>
  </si>
  <si>
    <t>▪  Thermal Stripping</t>
  </si>
  <si>
    <t>▪  Best Management Practices</t>
  </si>
  <si>
    <t>•  Provide ability for Supervisor to assign inspections to Inspectors.</t>
  </si>
  <si>
    <t>•  Inspectors place their names associated to the inspections of that day.</t>
  </si>
  <si>
    <t>•  Allow Supervisor to control the number of inspections per day , e.g. work load balancing.</t>
  </si>
  <si>
    <t>Session 26: Soil Boring Permit</t>
  </si>
  <si>
    <t>• Adopt software that provides online submittals and payments as the preferred method.</t>
  </si>
  <si>
    <t>• Provide ability to upload:</t>
  </si>
  <si>
    <t>▪ E-Permit Application</t>
  </si>
  <si>
    <t>▪ Site Map (PDFs or other)</t>
  </si>
  <si>
    <t>▪ Supporting Docs (PDFs or other)</t>
  </si>
  <si>
    <t>• Implement a central permitting software used by any department issuing permits.</t>
  </si>
  <si>
    <t>• Interface online payments with an online payment processor provider.</t>
  </si>
  <si>
    <t>• Provide the ability to enter the following data:</t>
  </si>
  <si>
    <t>▪ C57 Contracting License</t>
  </si>
  <si>
    <t>▪ Engineering Permit Number</t>
  </si>
  <si>
    <t>▪ Active City of Berkeley Business License</t>
  </si>
  <si>
    <t>• Replace the data and functionality of Excel tracker:</t>
  </si>
  <si>
    <t>▪ Day received</t>
  </si>
  <si>
    <t>▪ Permit number</t>
  </si>
  <si>
    <t>▪ Engineering company</t>
  </si>
  <si>
    <t>▪ Permit fees</t>
  </si>
  <si>
    <t>▪ Date approved</t>
  </si>
  <si>
    <t>▪ Inspector it was assigned to</t>
  </si>
  <si>
    <t>▪ Whether it was emailed</t>
  </si>
  <si>
    <t>▪ When it was received and processed</t>
  </si>
  <si>
    <t>▪ Number of borings</t>
  </si>
  <si>
    <t>• Provide e-signatures solution for staff to approve permits.</t>
  </si>
  <si>
    <t>▪ Track progress</t>
  </si>
  <si>
    <t>▪ Auto notification</t>
  </si>
  <si>
    <t>• Allow consultant to enter date when work is proposed to be done. If it does not meet the 2 day inspection scheduling minimum, flag it and propose a different date.</t>
  </si>
  <si>
    <t>• Easy fee adjustment feature for:</t>
  </si>
  <si>
    <t>▪ Retroactive billing</t>
  </si>
  <si>
    <t>▪ Fee appeals for reimbursement</t>
  </si>
  <si>
    <t>• Provide web enabled application to support mobile devices.</t>
  </si>
  <si>
    <t>• Support responsive design.</t>
  </si>
  <si>
    <t>• Support all major browsers.</t>
  </si>
  <si>
    <t>• Provide user friendly reporting capabilities.</t>
  </si>
  <si>
    <t>• Provide document records management functionality</t>
  </si>
  <si>
    <t>POSSE PLS includes some document management capabilities, accepting document uploads associated to business records in both the Customer and Staff Portals.  Documents are archived to the POSSE Archival Document Datastore while still being accessible to end users through the user interface. The POSSE PLS Staff Portal provides the user search capabilities for documentation associated with system records based on searching for that system record (for example, a Permit/Application, Project Name, etc.). Once accessed via the associated system record, the documentation is visible as well. POSSE PLS can also integrate with other document management systems. An integration to a third-party document management system has not been included in this proposal.</t>
  </si>
  <si>
    <t>▪ Adopt taxonomy with metadata</t>
  </si>
  <si>
    <t>▪ Store, search, and manage content (including documents, photographs, digital videos, digital audio)</t>
  </si>
  <si>
    <t>As all documents are associated with business data, POSSE PLS Staff Portal supports searching for the business data first, from which documents, images, etc. are easily accessible.</t>
  </si>
  <si>
    <t>▪ Search content to respond to PRAs</t>
  </si>
  <si>
    <t>Please see row 1057 note.</t>
  </si>
  <si>
    <t>▪ Provide a report of PRA findings</t>
  </si>
  <si>
    <t>▪ Ability to redact</t>
  </si>
  <si>
    <t>• Track payments made by consultants prior to doing the work.</t>
  </si>
  <si>
    <t>• Include payment step as part of the application process.</t>
  </si>
  <si>
    <t>• Ability to track payments.</t>
  </si>
  <si>
    <t>• Ability to verify upload of Soils Report.</t>
  </si>
  <si>
    <t>Session 27: Design Review (DR) Committee Level / Session 28: Design Review (DR) Staff Level &amp; Signage</t>
  </si>
  <si>
    <t>•  Integrate different permit types in the permit tracking.</t>
  </si>
  <si>
    <t>•  Connect Zoning Permit and the Design Review records, e.g., parent and child (with Design Review under Zoning).</t>
  </si>
  <si>
    <t>•  Combine the permit types into one – Design Review, with different subtypes, by Staff or Committee levels.</t>
  </si>
  <si>
    <t>•  Online applications for all land use applications.</t>
  </si>
  <si>
    <t>•  Adopt one central document management repository for documents in this process, and more streamlined.</t>
  </si>
  <si>
    <t xml:space="preserve">POSSE PLS includes some document management capabilities, accepting document uploads associated to business records in both the Customer and Staff Portals.  Documents are archived to the POSSE Archival Document Datastore while still being accessible to end users through the user interface. The POSSE PLS Staff Portal provides the user search capabilities for documentation associated with system records based on searching for that system record (for example, a Permit/Application, Project Name, etc.). Once accessed via the associated system record, the documentation is visible as well. POSSE PLS can integrate with other document management systems.
The POSSE Archival Document Database (PADD) provides an efficient, cost-effective way to archive older, static documents to an external Oracle database in order to preserve peak performance of your POSSE production environment while still maintaining easy access to the documents via the user interface.
</t>
  </si>
  <si>
    <t>•  Automatic notifications to applicant at key points in the process.</t>
  </si>
  <si>
    <t>•  Ability for the public to see key data related to this process.</t>
  </si>
  <si>
    <t>•  Streamline workflow steps and be efficient.</t>
  </si>
  <si>
    <t>Session 28: Design Review (DR) Staff Level &amp; Signage</t>
  </si>
  <si>
    <t>• Integrate different permit types for permit tracking.</t>
  </si>
  <si>
    <t>• Smart forms or data entry screens that eliminate redundantly entering of the same data.</t>
  </si>
  <si>
    <t>• Auto notifications to staff whenever there are assignments, resubmittals, if there are permit issues, incomplete post notices, at every step.</t>
  </si>
  <si>
    <t>• Simplified data entry.</t>
  </si>
  <si>
    <t>• Enter the same data for multiple categories using multiple drop down menus.</t>
  </si>
  <si>
    <t>Combined with Session 27.</t>
  </si>
  <si>
    <t>Session 29: Private Sewer Lateral (PSL) Permit / Certification</t>
  </si>
  <si>
    <t>• Automated periodic customer notifications:</t>
  </si>
  <si>
    <t>▪  Permit is issued</t>
  </si>
  <si>
    <t>▪  Permit has Fees Due</t>
  </si>
  <si>
    <t>▪  Documentation Needed</t>
  </si>
  <si>
    <t>▪  Certification is Issued</t>
  </si>
  <si>
    <t>▪  Certification is Active</t>
  </si>
  <si>
    <t>• Automatic notification to contact City staff when documents are uploaded.</t>
  </si>
  <si>
    <t>• Provide field condition check boxes:</t>
  </si>
  <si>
    <t>▪  Denied pressure test inspection: pressure not holding to accurate PSI</t>
  </si>
  <si>
    <t>▪  Approved water test 20 year CG</t>
  </si>
  <si>
    <t>▪  Approved water test 7 year CG</t>
  </si>
  <si>
    <t>▪  Approved air test 20 year CG</t>
  </si>
  <si>
    <t>▪  Approved air test 7 year CG</t>
  </si>
  <si>
    <t>▪  Partial repair</t>
  </si>
  <si>
    <t>▪  Full replacement</t>
  </si>
  <si>
    <t>▪  Final restoration needed</t>
  </si>
  <si>
    <t>▪  Comment field</t>
  </si>
  <si>
    <t>• Automated review process between Planning department and Public Works department:</t>
  </si>
  <si>
    <t>▪  Automatic notification of approval or disapproval of exception of PSL Program sent to Planning staff</t>
  </si>
  <si>
    <t>▪  Automated email of address approval</t>
  </si>
  <si>
    <t>• Certification status to staff when customers apply for Building Permit.</t>
  </si>
  <si>
    <t>• All screens should have Comment Fields.</t>
  </si>
  <si>
    <t>File notes are available in applicable/appropriate areas and easily accessible from most screens by accessing the File Notes tab.</t>
  </si>
  <si>
    <t>▪  Routing</t>
  </si>
  <si>
    <t>▪  Auto notifications</t>
  </si>
  <si>
    <t>▪  Review</t>
  </si>
  <si>
    <t>▪  Approve</t>
  </si>
  <si>
    <t>▪  E-signatures</t>
  </si>
  <si>
    <t>e-signatures are available within any Workflow process using word merge templates and using stamps within ePlans (electronic plan review).  Additional configuration could be done but has not been included in this proposal.</t>
  </si>
  <si>
    <t>▪  Checks</t>
  </si>
  <si>
    <t>• Ability to create a new records.</t>
  </si>
  <si>
    <t>• Open various case files for title transfer that are not validated.</t>
  </si>
  <si>
    <t>An integration to the CitizenServe Code Enforcement system has been included. Case Files could be opened to track title transfers that are not validated.</t>
  </si>
  <si>
    <t>• Check for open case files.</t>
  </si>
  <si>
    <t>Please see row 1129 note.</t>
  </si>
  <si>
    <t>• Autogenerate and send First Notice and Order Form and Second Notice and Order.</t>
  </si>
  <si>
    <t>• Autogenerate and send Citations and Title Letter Heads.</t>
  </si>
  <si>
    <t>• Collect Fees.</t>
  </si>
  <si>
    <t>• Portal:</t>
  </si>
  <si>
    <t>▪  Submit PSL Certificate Requests</t>
  </si>
  <si>
    <t>▪  Submit responses to notices</t>
  </si>
  <si>
    <t>▪  Submit Forms (multiple)</t>
  </si>
  <si>
    <t>▪  Apply for PSL Permit</t>
  </si>
  <si>
    <t>▪  Receive information, notices, certificates, communications</t>
  </si>
  <si>
    <t>• Electronically stamp, approve and record Forms.</t>
  </si>
  <si>
    <t>• Document field inspections, including attaching photos.</t>
  </si>
  <si>
    <t>• Final approvals.</t>
  </si>
  <si>
    <t>• Close Permits.</t>
  </si>
  <si>
    <t>Session 30: Funds Land Management to Accela   (As-Is but no To-Be held)</t>
  </si>
  <si>
    <t>Session 31: Landmark Download</t>
  </si>
  <si>
    <t>Session 32: SB 35 Pre-App and Full-Application</t>
  </si>
  <si>
    <t>▪  Auto email Add notifications</t>
  </si>
  <si>
    <t>▪  Reviews</t>
  </si>
  <si>
    <t>▪  Approvals</t>
  </si>
  <si>
    <t>▪  Status</t>
  </si>
  <si>
    <t>▪  Track days in the process</t>
  </si>
  <si>
    <t>▪  Resource allocation</t>
  </si>
  <si>
    <t>• Provide online submittals and ability to access and view application and its status.</t>
  </si>
  <si>
    <t>• Block applicant from completing online application if they do not check all boxes and upload relevant documents. (Example is a shadow study for over 14ft on flats.)</t>
  </si>
  <si>
    <t>• Automate notification of payment to Planners.</t>
  </si>
  <si>
    <t>• Automate notification of Applicant with invoice attached.</t>
  </si>
  <si>
    <t>Customer Portal includes access to outstanding fees and invoices.</t>
  </si>
  <si>
    <t>• Provide clear, easy to use directions on how to submit online applications and in general documents.</t>
  </si>
  <si>
    <t>• Time tracking to help Principal Planners know how to better balance workload between Project Planners.</t>
  </si>
  <si>
    <t>• Track project fees.</t>
  </si>
  <si>
    <t>• Track staff time for cost recovery.</t>
  </si>
  <si>
    <t>• Notification of assignment of projects to Project Planners.</t>
  </si>
  <si>
    <t>• Electronic Document Management</t>
  </si>
  <si>
    <t>• Provide electronic document/record storage, management, and archiving capabilities.</t>
  </si>
  <si>
    <t>• Provide document naming and taxonomy.</t>
  </si>
  <si>
    <t>• Provide access to all Planners who may require access.</t>
  </si>
  <si>
    <t>• Provide ability to research past permits and associated draft, working, and final documents.</t>
  </si>
  <si>
    <t>• Ability to attach notes and link documents related to a parcel.</t>
  </si>
  <si>
    <t>• Ability to publish letters and approvals on a portal.</t>
  </si>
  <si>
    <t>• Provide ability to produce custom letters and save as PDFs and attach to an auto notification and email.</t>
  </si>
  <si>
    <t xml:space="preserve">POSSE can automatically generate the letter with data elements from the record once the staff user selects the appropriate letter via dropdown within a workflow process and uses the built in features to create the pdf. This then provides the user the ability to create an email from within the system to the appropriate contact. </t>
  </si>
  <si>
    <t>• Auto notification to Planner Use Permit was assigned, with application dates and 30 day letter deadlines.</t>
  </si>
  <si>
    <t>FUNCTIONAL &amp; TECHNICAL REQUIREMENTS SUMMARY</t>
  </si>
  <si>
    <t>Session 5: Solar Permits</t>
  </si>
  <si>
    <t>Session 30: FUND$ Land Management to Accela (No To-Be Held)</t>
  </si>
  <si>
    <t>Session 31: Use Permits: Demolition Referral to LPC (No To-Be Held)</t>
  </si>
  <si>
    <t>Session 32: SB 35 Pre-App and Full-App</t>
  </si>
  <si>
    <t>TOTAL VENDOR FEATURES &amp; FUNCTIONS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</si>
</sst>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18"/>
      <name val="Arial"/>
      <family val="2"/>
    </font>
    <font>
      <b/>
      <sz val="12"/>
      <name val="Arial"/>
      <family val="2"/>
    </font>
    <font>
      <sz val="12"/>
      <name val="Arial"/>
      <family val="2"/>
    </font>
    <font>
      <b/>
      <sz val="14"/>
      <name val="Arial"/>
      <family val="2"/>
    </font>
    <font>
      <b/>
      <sz val="11"/>
      <color theme="1"/>
      <name val="Calibri"/>
      <family val="2"/>
      <scheme val="minor"/>
    </font>
    <font>
      <sz val="11"/>
      <color theme="1"/>
      <name val="Arial"/>
      <family val="2"/>
    </font>
    <font>
      <sz val="14"/>
      <color theme="1"/>
      <name val="Arial"/>
      <family val="2"/>
    </font>
    <font>
      <b/>
      <sz val="11"/>
      <color theme="1"/>
      <name val="Arial"/>
      <family val="2"/>
    </font>
    <font>
      <b/>
      <sz val="11"/>
      <color theme="0"/>
      <name val="Arial"/>
      <family val="2"/>
    </font>
    <font>
      <sz val="11"/>
      <color theme="4" tint="-0.249977111117893"/>
      <name val="Arial"/>
      <family val="2"/>
    </font>
    <font>
      <b/>
      <sz val="12"/>
      <color theme="1"/>
      <name val="Arial"/>
      <family val="2"/>
    </font>
    <font>
      <b/>
      <sz val="14"/>
      <color theme="4" tint="-0.249977111117893"/>
      <name val="Arial"/>
      <family val="2"/>
    </font>
    <font>
      <sz val="12"/>
      <color theme="1"/>
      <name val="Arial"/>
      <family val="2"/>
    </font>
    <font>
      <b/>
      <sz val="12"/>
      <color theme="4" tint="-0.249977111117893"/>
      <name val="Arial"/>
      <family val="2"/>
    </font>
    <font>
      <b/>
      <sz val="12"/>
      <color theme="0"/>
      <name val="Arial"/>
      <family val="2"/>
    </font>
    <font>
      <b/>
      <sz val="12"/>
      <color theme="0"/>
      <name val="Arial Black"/>
      <family val="2"/>
    </font>
    <font>
      <b/>
      <sz val="12"/>
      <color theme="1"/>
      <name val="Calibri"/>
      <family val="2"/>
      <scheme val="minor"/>
    </font>
    <font>
      <sz val="12"/>
      <color theme="1"/>
      <name val="Calibri"/>
      <family val="2"/>
      <scheme val="minor"/>
    </font>
    <font>
      <b/>
      <sz val="16"/>
      <color theme="1"/>
      <name val="Arial"/>
      <family val="2"/>
    </font>
    <font>
      <sz val="16"/>
      <color theme="1"/>
      <name val="Arial"/>
      <family val="2"/>
    </font>
    <font>
      <b/>
      <sz val="14"/>
      <color theme="0"/>
      <name val="Arial"/>
      <family val="2"/>
    </font>
    <font>
      <sz val="12"/>
      <color rgb="FFC00000"/>
      <name val="Arial"/>
      <family val="2"/>
    </font>
    <font>
      <b/>
      <sz val="12"/>
      <color rgb="FFC00000"/>
      <name val="Arial"/>
      <family val="2"/>
    </font>
    <font>
      <b/>
      <sz val="10"/>
      <color theme="0"/>
      <name val="Arial"/>
      <family val="2"/>
    </font>
    <font>
      <b/>
      <sz val="12"/>
      <color rgb="FF000000"/>
      <name val="Arial"/>
      <family val="2"/>
    </font>
    <font>
      <b/>
      <sz val="11"/>
      <color rgb="FF000000"/>
      <name val="Arial"/>
      <family val="2"/>
    </font>
    <font>
      <b/>
      <sz val="12"/>
      <color rgb="FF000000"/>
      <name val="Arial Black"/>
      <family val="2"/>
    </font>
    <font>
      <b/>
      <sz val="14"/>
      <color rgb="FF000000"/>
      <name val="Arial"/>
      <family val="2"/>
    </font>
    <font>
      <b/>
      <sz val="12"/>
      <color rgb="FF000000"/>
      <name val="Arial"/>
    </font>
    <font>
      <sz val="12"/>
      <color rgb="FF000000"/>
      <name val="Arial"/>
    </font>
    <font>
      <b/>
      <sz val="11"/>
      <color rgb="FF000000"/>
      <name val="Calibri"/>
      <family val="2"/>
      <scheme val="minor"/>
    </font>
    <font>
      <sz val="12"/>
      <color rgb="FF000000"/>
      <name val="Calibri"/>
      <family val="2"/>
    </font>
    <font>
      <sz val="12"/>
      <color rgb="FF00000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5B9BD6"/>
        <bgColor indexed="64"/>
      </patternFill>
    </fill>
    <fill>
      <patternFill patternType="solid">
        <fgColor rgb="FFC00000"/>
        <bgColor indexed="64"/>
      </patternFill>
    </fill>
    <fill>
      <patternFill patternType="solid">
        <fgColor theme="0" tint="-0.34998626667073579"/>
        <bgColor indexed="64"/>
      </patternFill>
    </fill>
  </fills>
  <borders count="150">
    <border>
      <left/>
      <right/>
      <top/>
      <bottom/>
      <diagonal/>
    </border>
    <border>
      <left/>
      <right style="thin">
        <color theme="4"/>
      </right>
      <top style="thin">
        <color theme="4"/>
      </top>
      <bottom style="thin">
        <color theme="4"/>
      </bottom>
      <diagonal/>
    </border>
    <border>
      <left style="thin">
        <color theme="4"/>
      </left>
      <right/>
      <top style="thin">
        <color theme="4"/>
      </top>
      <bottom style="thin">
        <color theme="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top style="medium">
        <color theme="4"/>
      </top>
      <bottom/>
      <diagonal/>
    </border>
    <border>
      <left style="thin">
        <color rgb="FF4472C4"/>
      </left>
      <right style="medium">
        <color theme="4"/>
      </right>
      <top style="medium">
        <color theme="4"/>
      </top>
      <bottom style="thin">
        <color theme="0" tint="-0.34998626667073579"/>
      </bottom>
      <diagonal/>
    </border>
    <border>
      <left/>
      <right/>
      <top/>
      <bottom style="medium">
        <color theme="4"/>
      </bottom>
      <diagonal/>
    </border>
    <border>
      <left style="thin">
        <color theme="0" tint="-0.24994659260841701"/>
      </left>
      <right style="thin">
        <color theme="0" tint="-0.24994659260841701"/>
      </right>
      <top style="thin">
        <color theme="0" tint="-0.24994659260841701"/>
      </top>
      <bottom style="medium">
        <color theme="4"/>
      </bottom>
      <diagonal/>
    </border>
    <border>
      <left/>
      <right/>
      <top style="medium">
        <color theme="4" tint="-0.24994659260841701"/>
      </top>
      <bottom/>
      <diagonal/>
    </border>
    <border>
      <left/>
      <right style="thin">
        <color rgb="FF4472C4"/>
      </right>
      <top style="medium">
        <color theme="4" tint="-0.24994659260841701"/>
      </top>
      <bottom/>
      <diagonal/>
    </border>
    <border>
      <left style="thin">
        <color rgb="FF4472C4"/>
      </left>
      <right style="medium">
        <color theme="4" tint="-0.24994659260841701"/>
      </right>
      <top style="medium">
        <color theme="4" tint="-0.24994659260841701"/>
      </top>
      <bottom style="thin">
        <color theme="0" tint="-0.34998626667073579"/>
      </bottom>
      <diagonal/>
    </border>
    <border>
      <left style="thin">
        <color theme="4"/>
      </left>
      <right style="medium">
        <color theme="4"/>
      </right>
      <top style="thin">
        <color theme="0" tint="-0.24994659260841701"/>
      </top>
      <bottom style="thin">
        <color theme="0" tint="-0.24994659260841701"/>
      </bottom>
      <diagonal/>
    </border>
    <border>
      <left style="thin">
        <color theme="0" tint="-0.24994659260841701"/>
      </left>
      <right/>
      <top style="thin">
        <color theme="0" tint="-0.24994659260841701"/>
      </top>
      <bottom style="medium">
        <color theme="4"/>
      </bottom>
      <diagonal/>
    </border>
    <border>
      <left style="thin">
        <color theme="4"/>
      </left>
      <right style="medium">
        <color theme="4"/>
      </right>
      <top style="thin">
        <color theme="0" tint="-0.24994659260841701"/>
      </top>
      <bottom style="medium">
        <color theme="4"/>
      </bottom>
      <diagonal/>
    </border>
    <border>
      <left style="thin">
        <color rgb="FF4472C4"/>
      </left>
      <right style="medium">
        <color theme="4"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theme="4" tint="-0.24994659260841701"/>
      </bottom>
      <diagonal/>
    </border>
    <border>
      <left style="thin">
        <color rgb="FF4472C4"/>
      </left>
      <right style="medium">
        <color theme="4" tint="-0.24994659260841701"/>
      </right>
      <top style="thin">
        <color theme="0" tint="-0.24994659260841701"/>
      </top>
      <bottom style="medium">
        <color theme="4" tint="-0.24994659260841701"/>
      </bottom>
      <diagonal/>
    </border>
    <border>
      <left style="thin">
        <color rgb="FF4472C4"/>
      </left>
      <right style="medium">
        <color rgb="FF4472C4"/>
      </right>
      <top style="medium">
        <color rgb="FF4472C4"/>
      </top>
      <bottom style="thin">
        <color theme="0" tint="-0.34998626667073579"/>
      </bottom>
      <diagonal/>
    </border>
    <border>
      <left/>
      <right style="medium">
        <color rgb="FF4472C4"/>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rgb="FF4472C4"/>
      </bottom>
      <diagonal/>
    </border>
    <border>
      <left style="thin">
        <color theme="4"/>
      </left>
      <right style="medium">
        <color theme="4"/>
      </right>
      <top style="thin">
        <color theme="0" tint="-0.24994659260841701"/>
      </top>
      <bottom/>
      <diagonal/>
    </border>
    <border>
      <left/>
      <right style="medium">
        <color rgb="FF4472C4"/>
      </right>
      <top style="thin">
        <color theme="0" tint="-0.24994659260841701"/>
      </top>
      <bottom/>
      <diagonal/>
    </border>
    <border>
      <left style="medium">
        <color theme="4"/>
      </left>
      <right/>
      <top style="thin">
        <color theme="0" tint="-0.24994659260841701"/>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4" tint="-0.24994659260841701"/>
      </left>
      <right/>
      <top style="medium">
        <color theme="4" tint="-0.24994659260841701"/>
      </top>
      <bottom/>
      <diagonal/>
    </border>
    <border>
      <left style="medium">
        <color theme="4"/>
      </left>
      <right/>
      <top style="thin">
        <color theme="0" tint="-0.24994659260841701"/>
      </top>
      <bottom style="thin">
        <color theme="0" tint="-0.24994659260841701"/>
      </bottom>
      <diagonal/>
    </border>
    <border>
      <left style="medium">
        <color theme="4"/>
      </left>
      <right/>
      <top style="medium">
        <color theme="4"/>
      </top>
      <bottom style="thin">
        <color theme="0" tint="-0.34998626667073579"/>
      </bottom>
      <diagonal/>
    </border>
    <border>
      <left style="medium">
        <color theme="4"/>
      </left>
      <right/>
      <top style="thin">
        <color theme="0" tint="-0.34998626667073579"/>
      </top>
      <bottom style="thin">
        <color theme="0" tint="-0.24994659260841701"/>
      </bottom>
      <diagonal/>
    </border>
    <border>
      <left style="medium">
        <color theme="4"/>
      </left>
      <right/>
      <top style="thin">
        <color theme="0" tint="-0.24994659260841701"/>
      </top>
      <bottom style="medium">
        <color theme="4"/>
      </bottom>
      <diagonal/>
    </border>
    <border>
      <left style="medium">
        <color rgb="FF4472C4"/>
      </left>
      <right/>
      <top style="thin">
        <color theme="0" tint="-0.24994659260841701"/>
      </top>
      <bottom/>
      <diagonal/>
    </border>
    <border>
      <left style="medium">
        <color theme="4"/>
      </left>
      <right/>
      <top style="medium">
        <color theme="4"/>
      </top>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right style="thin">
        <color theme="0" tint="-0.24994659260841701"/>
      </right>
      <top style="thin">
        <color theme="0" tint="-0.24994659260841701"/>
      </top>
      <bottom style="medium">
        <color theme="4" tint="-0.24994659260841701"/>
      </bottom>
      <diagonal/>
    </border>
    <border>
      <left/>
      <right style="thin">
        <color theme="0" tint="-0.24994659260841701"/>
      </right>
      <top style="thin">
        <color theme="0" tint="-0.24994659260841701"/>
      </top>
      <bottom style="medium">
        <color theme="4"/>
      </bottom>
      <diagonal/>
    </border>
    <border>
      <left style="medium">
        <color theme="4" tint="-0.24994659260841701"/>
      </left>
      <right style="medium">
        <color theme="4" tint="-0.24994659260841701"/>
      </right>
      <top/>
      <bottom/>
      <diagonal/>
    </border>
    <border>
      <left style="medium">
        <color theme="4" tint="-0.24994659260841701"/>
      </left>
      <right style="thin">
        <color theme="0" tint="-0.24994659260841701"/>
      </right>
      <top style="thin">
        <color theme="0" tint="-0.34998626667073579"/>
      </top>
      <bottom style="thin">
        <color theme="0" tint="-0.34998626667073579"/>
      </bottom>
      <diagonal/>
    </border>
    <border>
      <left style="thin">
        <color theme="0" tint="-0.24994659260841701"/>
      </left>
      <right style="thin">
        <color theme="0" tint="-0.24994659260841701"/>
      </right>
      <top style="thin">
        <color theme="0" tint="-0.34998626667073579"/>
      </top>
      <bottom style="thin">
        <color theme="0" tint="-0.34998626667073579"/>
      </bottom>
      <diagonal/>
    </border>
    <border>
      <left style="thin">
        <color rgb="FF4472C4"/>
      </left>
      <right style="medium">
        <color theme="4" tint="-0.24994659260841701"/>
      </right>
      <top style="thin">
        <color theme="0" tint="-0.34998626667073579"/>
      </top>
      <bottom style="thin">
        <color theme="0" tint="-0.34998626667073579"/>
      </bottom>
      <diagonal/>
    </border>
    <border>
      <left style="medium">
        <color theme="4" tint="-0.24994659260841701"/>
      </left>
      <right style="thin">
        <color theme="0" tint="-0.24994659260841701"/>
      </right>
      <top style="thin">
        <color theme="0" tint="-0.34998626667073579"/>
      </top>
      <bottom style="medium">
        <color theme="4" tint="-0.24994659260841701"/>
      </bottom>
      <diagonal/>
    </border>
    <border>
      <left style="thin">
        <color theme="0" tint="-0.24994659260841701"/>
      </left>
      <right style="thin">
        <color theme="0" tint="-0.24994659260841701"/>
      </right>
      <top style="thin">
        <color theme="0" tint="-0.34998626667073579"/>
      </top>
      <bottom style="medium">
        <color theme="4" tint="-0.24994659260841701"/>
      </bottom>
      <diagonal/>
    </border>
    <border>
      <left style="thin">
        <color theme="0" tint="-0.24994659260841701"/>
      </left>
      <right style="thin">
        <color rgb="FF4472C4"/>
      </right>
      <top style="thin">
        <color theme="0" tint="-0.34998626667073579"/>
      </top>
      <bottom style="medium">
        <color theme="4" tint="-0.24994659260841701"/>
      </bottom>
      <diagonal/>
    </border>
    <border>
      <left style="thin">
        <color rgb="FF4472C4"/>
      </left>
      <right style="medium">
        <color theme="4" tint="-0.24994659260841701"/>
      </right>
      <top style="thin">
        <color theme="0" tint="-0.34998626667073579"/>
      </top>
      <bottom style="medium">
        <color theme="4" tint="-0.24994659260841701"/>
      </bottom>
      <diagonal/>
    </border>
    <border>
      <left style="medium">
        <color theme="4"/>
      </left>
      <right style="thin">
        <color theme="4"/>
      </right>
      <top style="medium">
        <color theme="4"/>
      </top>
      <bottom style="thin">
        <color theme="4"/>
      </bottom>
      <diagonal/>
    </border>
    <border>
      <left style="medium">
        <color theme="4"/>
      </left>
      <right style="thin">
        <color theme="4"/>
      </right>
      <top style="thin">
        <color theme="4"/>
      </top>
      <bottom style="thin">
        <color theme="4"/>
      </bottom>
      <diagonal/>
    </border>
    <border>
      <left style="medium">
        <color theme="4"/>
      </left>
      <right style="thin">
        <color theme="4"/>
      </right>
      <top style="thin">
        <color theme="4"/>
      </top>
      <bottom style="medium">
        <color theme="4"/>
      </bottom>
      <diagonal/>
    </border>
    <border>
      <left style="medium">
        <color rgb="FF5B9BD6"/>
      </left>
      <right style="medium">
        <color rgb="FF5B9BD6"/>
      </right>
      <top style="thin">
        <color theme="0" tint="-0.34998626667073579"/>
      </top>
      <bottom style="medium">
        <color rgb="FF5B9BD6"/>
      </bottom>
      <diagonal/>
    </border>
    <border>
      <left style="medium">
        <color rgb="FF5B9BD6"/>
      </left>
      <right style="medium">
        <color rgb="FF5B9BD6"/>
      </right>
      <top style="thin">
        <color theme="0" tint="-0.34998626667073579"/>
      </top>
      <bottom style="thin">
        <color theme="0" tint="-0.34998626667073579"/>
      </bottom>
      <diagonal/>
    </border>
    <border>
      <left style="medium">
        <color theme="4" tint="-0.24994659260841701"/>
      </left>
      <right style="thin">
        <color theme="0" tint="-0.24994659260841701"/>
      </right>
      <top style="thin">
        <color theme="0" tint="-0.24994659260841701"/>
      </top>
      <bottom/>
      <diagonal/>
    </border>
    <border>
      <left style="medium">
        <color theme="4" tint="-0.24994659260841701"/>
      </left>
      <right style="thin">
        <color theme="0" tint="-0.24994659260841701"/>
      </right>
      <top style="thin">
        <color theme="0" tint="-0.24994659260841701"/>
      </top>
      <bottom style="medium">
        <color theme="4" tint="-0.24994659260841701"/>
      </bottom>
      <diagonal/>
    </border>
    <border>
      <left/>
      <right style="medium">
        <color rgb="FF4472C4"/>
      </right>
      <top style="thin">
        <color theme="0" tint="-0.24994659260841701"/>
      </top>
      <bottom style="medium">
        <color theme="4" tint="-0.24994659260841701"/>
      </bottom>
      <diagonal/>
    </border>
    <border>
      <left/>
      <right/>
      <top/>
      <bottom style="medium">
        <color rgb="FF5B9BD6"/>
      </bottom>
      <diagonal/>
    </border>
    <border>
      <left style="medium">
        <color rgb="FF5B9BD6"/>
      </left>
      <right style="thin">
        <color theme="0" tint="-0.34998626667073579"/>
      </right>
      <top style="thin">
        <color theme="0" tint="-0.34998626667073579"/>
      </top>
      <bottom style="medium">
        <color rgb="FF5B9BD6"/>
      </bottom>
      <diagonal/>
    </border>
    <border>
      <left style="thin">
        <color theme="0" tint="-0.34998626667073579"/>
      </left>
      <right style="thin">
        <color theme="0" tint="-0.34998626667073579"/>
      </right>
      <top style="thin">
        <color theme="0" tint="-0.34998626667073579"/>
      </top>
      <bottom style="medium">
        <color rgb="FF5B9BD6"/>
      </bottom>
      <diagonal/>
    </border>
    <border>
      <left style="thin">
        <color theme="0" tint="-0.34998626667073579"/>
      </left>
      <right/>
      <top style="thin">
        <color theme="0" tint="-0.34998626667073579"/>
      </top>
      <bottom style="medium">
        <color rgb="FF5B9BD6"/>
      </bottom>
      <diagonal/>
    </border>
    <border>
      <left style="thin">
        <color rgb="FF5B9BD6"/>
      </left>
      <right style="medium">
        <color rgb="FF5B9BD6"/>
      </right>
      <top style="thin">
        <color theme="0" tint="-0.34998626667073579"/>
      </top>
      <bottom style="medium">
        <color rgb="FF5B9BD6"/>
      </bottom>
      <diagonal/>
    </border>
    <border>
      <left style="medium">
        <color rgb="FF4472C4"/>
      </left>
      <right style="thin">
        <color theme="0" tint="-0.24994659260841701"/>
      </right>
      <top style="thin">
        <color theme="0" tint="-0.24994659260841701"/>
      </top>
      <bottom style="thin">
        <color theme="0" tint="-0.24994659260841701"/>
      </bottom>
      <diagonal/>
    </border>
    <border>
      <left style="thin">
        <color theme="4"/>
      </left>
      <right style="medium">
        <color rgb="FF4472C4"/>
      </right>
      <top style="thin">
        <color theme="0" tint="-0.24994659260841701"/>
      </top>
      <bottom style="thin">
        <color theme="0" tint="-0.24994659260841701"/>
      </bottom>
      <diagonal/>
    </border>
    <border>
      <left style="medium">
        <color rgb="FF4472C4"/>
      </left>
      <right style="thin">
        <color theme="0" tint="-0.24994659260841701"/>
      </right>
      <top style="thin">
        <color theme="0" tint="-0.24994659260841701"/>
      </top>
      <bottom/>
      <diagonal/>
    </border>
    <border>
      <left style="medium">
        <color rgb="FF4472C4"/>
      </left>
      <right style="thin">
        <color theme="0" tint="-0.24994659260841701"/>
      </right>
      <top style="thin">
        <color theme="0" tint="-0.24994659260841701"/>
      </top>
      <bottom style="medium">
        <color rgb="FF4472C4"/>
      </bottom>
      <diagonal/>
    </border>
    <border>
      <left style="thin">
        <color theme="0" tint="-0.24994659260841701"/>
      </left>
      <right/>
      <top style="thin">
        <color theme="0" tint="-0.24994659260841701"/>
      </top>
      <bottom style="medium">
        <color rgb="FF4472C4"/>
      </bottom>
      <diagonal/>
    </border>
    <border>
      <left style="thin">
        <color theme="4"/>
      </left>
      <right style="medium">
        <color rgb="FF4472C4"/>
      </right>
      <top style="thin">
        <color theme="0" tint="-0.24994659260841701"/>
      </top>
      <bottom style="medium">
        <color rgb="FF4472C4"/>
      </bottom>
      <diagonal/>
    </border>
    <border>
      <left style="medium">
        <color theme="4"/>
      </left>
      <right style="medium">
        <color theme="4"/>
      </right>
      <top style="medium">
        <color theme="4"/>
      </top>
      <bottom style="thin">
        <color theme="0" tint="-0.24994659260841701"/>
      </bottom>
      <diagonal/>
    </border>
    <border>
      <left style="medium">
        <color theme="4" tint="-0.24994659260841701"/>
      </left>
      <right style="thin">
        <color theme="0" tint="-0.34998626667073579"/>
      </right>
      <top style="thin">
        <color theme="0" tint="-0.34998626667073579"/>
      </top>
      <bottom style="thin">
        <color theme="0" tint="-0.34998626667073579"/>
      </bottom>
      <diagonal/>
    </border>
    <border>
      <left style="medium">
        <color theme="4" tint="-0.24994659260841701"/>
      </left>
      <right style="thin">
        <color theme="0" tint="-0.34998626667073579"/>
      </right>
      <top style="thin">
        <color theme="0" tint="-0.34998626667073579"/>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24994659260841701"/>
      </bottom>
      <diagonal/>
    </border>
    <border>
      <left style="thin">
        <color theme="0" tint="-0.34998626667073579"/>
      </left>
      <right style="medium">
        <color rgb="FF5B9BD6"/>
      </right>
      <top style="thin">
        <color theme="0" tint="-0.34998626667073579"/>
      </top>
      <bottom style="thin">
        <color theme="0" tint="-0.34998626667073579"/>
      </bottom>
      <diagonal/>
    </border>
    <border>
      <left style="medium">
        <color theme="4"/>
      </left>
      <right style="medium">
        <color theme="4"/>
      </right>
      <top style="medium">
        <color theme="4"/>
      </top>
      <bottom style="thin">
        <color theme="0" tint="-0.34998626667073579"/>
      </bottom>
      <diagonal/>
    </border>
    <border>
      <left style="medium">
        <color theme="4"/>
      </left>
      <right style="thin">
        <color theme="4"/>
      </right>
      <top style="thin">
        <color theme="4"/>
      </top>
      <bottom/>
      <diagonal/>
    </border>
    <border>
      <left style="medium">
        <color theme="4"/>
      </left>
      <right style="thin">
        <color theme="4"/>
      </right>
      <top style="thin">
        <color theme="0" tint="-0.34998626667073579"/>
      </top>
      <bottom/>
      <diagonal/>
    </border>
    <border>
      <left style="medium">
        <color theme="4"/>
      </left>
      <right style="medium">
        <color theme="4"/>
      </right>
      <top style="medium">
        <color theme="4"/>
      </top>
      <bottom style="thin">
        <color theme="4"/>
      </bottom>
      <diagonal/>
    </border>
    <border>
      <left style="thin">
        <color theme="0" tint="-0.24994659260841701"/>
      </left>
      <right/>
      <top style="thin">
        <color theme="0" tint="-0.24994659260841701"/>
      </top>
      <bottom style="medium">
        <color theme="4" tint="-0.24994659260841701"/>
      </bottom>
      <diagonal/>
    </border>
    <border>
      <left style="thin">
        <color theme="0" tint="-0.24994659260841701"/>
      </left>
      <right/>
      <top style="thin">
        <color theme="0" tint="-0.34998626667073579"/>
      </top>
      <bottom style="thin">
        <color theme="0" tint="-0.34998626667073579"/>
      </bottom>
      <diagonal/>
    </border>
    <border>
      <left style="thin">
        <color theme="0" tint="-0.24994659260841701"/>
      </left>
      <right/>
      <top style="thin">
        <color theme="0" tint="-0.34998626667073579"/>
      </top>
      <bottom style="medium">
        <color theme="4" tint="-0.24994659260841701"/>
      </bottom>
      <diagonal/>
    </border>
    <border>
      <left/>
      <right style="medium">
        <color theme="4" tint="-0.24994659260841701"/>
      </right>
      <top/>
      <bottom/>
      <diagonal/>
    </border>
    <border>
      <left/>
      <right style="medium">
        <color rgb="FF5B9BD6"/>
      </right>
      <top/>
      <bottom/>
      <diagonal/>
    </border>
    <border>
      <left style="medium">
        <color theme="4"/>
      </left>
      <right style="medium">
        <color theme="4"/>
      </right>
      <top style="medium">
        <color theme="4"/>
      </top>
      <bottom/>
      <diagonal/>
    </border>
    <border>
      <left style="medium">
        <color theme="4"/>
      </left>
      <right style="medium">
        <color theme="4"/>
      </right>
      <top/>
      <bottom style="slantDashDot">
        <color theme="0" tint="-0.14996795556505021"/>
      </bottom>
      <diagonal/>
    </border>
    <border>
      <left style="medium">
        <color theme="4"/>
      </left>
      <right style="medium">
        <color theme="4"/>
      </right>
      <top style="slantDashDot">
        <color theme="0" tint="-0.14996795556505021"/>
      </top>
      <bottom style="medium">
        <color theme="4"/>
      </bottom>
      <diagonal/>
    </border>
    <border>
      <left style="medium">
        <color rgb="FF5B9BD6"/>
      </left>
      <right style="medium">
        <color rgb="FF5B9BD6"/>
      </right>
      <top style="medium">
        <color rgb="FF5B9BD6"/>
      </top>
      <bottom style="thin">
        <color theme="0" tint="-0.24994659260841701"/>
      </bottom>
      <diagonal/>
    </border>
    <border>
      <left style="medium">
        <color rgb="FF5B9BD6"/>
      </left>
      <right style="medium">
        <color rgb="FF5B9BD6"/>
      </right>
      <top style="thin">
        <color theme="0" tint="-0.24994659260841701"/>
      </top>
      <bottom style="thin">
        <color theme="0" tint="-0.24994659260841701"/>
      </bottom>
      <diagonal/>
    </border>
    <border>
      <left style="medium">
        <color rgb="FF5B9BD6"/>
      </left>
      <right style="medium">
        <color rgb="FF5B9BD6"/>
      </right>
      <top style="thin">
        <color theme="0" tint="-0.24994659260841701"/>
      </top>
      <bottom style="medium">
        <color rgb="FF5B9BD6"/>
      </bottom>
      <diagonal/>
    </border>
    <border>
      <left style="medium">
        <color rgb="FF5B9BD6"/>
      </left>
      <right style="medium">
        <color rgb="FF5B9BD6"/>
      </right>
      <top style="medium">
        <color rgb="FF5B9BD6"/>
      </top>
      <bottom/>
      <diagonal/>
    </border>
    <border>
      <left style="medium">
        <color rgb="FF5B9BD6"/>
      </left>
      <right style="medium">
        <color rgb="FF5B9BD6"/>
      </right>
      <top/>
      <bottom style="thin">
        <color theme="0" tint="-0.14996795556505021"/>
      </bottom>
      <diagonal/>
    </border>
    <border>
      <left style="medium">
        <color rgb="FF5B9BD6"/>
      </left>
      <right style="medium">
        <color rgb="FF5B9BD6"/>
      </right>
      <top style="thin">
        <color theme="0" tint="-0.14996795556505021"/>
      </top>
      <bottom style="thin">
        <color theme="0" tint="-0.14996795556505021"/>
      </bottom>
      <diagonal/>
    </border>
    <border>
      <left style="medium">
        <color rgb="FF5B9BD6"/>
      </left>
      <right style="medium">
        <color rgb="FF5B9BD6"/>
      </right>
      <top style="thin">
        <color theme="0" tint="-0.14996795556505021"/>
      </top>
      <bottom style="medium">
        <color rgb="FF5B9BD6"/>
      </bottom>
      <diagonal/>
    </border>
    <border>
      <left style="medium">
        <color theme="4"/>
      </left>
      <right style="medium">
        <color theme="4"/>
      </right>
      <top style="thin">
        <color theme="0" tint="-0.24994659260841701"/>
      </top>
      <bottom style="thin">
        <color theme="0" tint="-0.24994659260841701"/>
      </bottom>
      <diagonal/>
    </border>
    <border>
      <left style="medium">
        <color theme="4"/>
      </left>
      <right style="medium">
        <color theme="4"/>
      </right>
      <top style="thin">
        <color theme="0" tint="-0.34998626667073579"/>
      </top>
      <bottom style="medium">
        <color theme="4"/>
      </bottom>
      <diagonal/>
    </border>
    <border>
      <left style="medium">
        <color theme="4"/>
      </left>
      <right style="medium">
        <color theme="4"/>
      </right>
      <top/>
      <bottom style="thin">
        <color theme="0" tint="-0.14996795556505021"/>
      </bottom>
      <diagonal/>
    </border>
    <border>
      <left style="medium">
        <color theme="4"/>
      </left>
      <right style="medium">
        <color theme="4"/>
      </right>
      <top style="thin">
        <color theme="0" tint="-0.14996795556505021"/>
      </top>
      <bottom style="thin">
        <color theme="0" tint="-0.14996795556505021"/>
      </bottom>
      <diagonal/>
    </border>
    <border>
      <left style="medium">
        <color theme="4"/>
      </left>
      <right style="medium">
        <color theme="4"/>
      </right>
      <top style="thin">
        <color theme="0" tint="-0.14996795556505021"/>
      </top>
      <bottom style="medium">
        <color theme="4"/>
      </bottom>
      <diagonal/>
    </border>
    <border>
      <left style="medium">
        <color theme="4"/>
      </left>
      <right style="medium">
        <color theme="4"/>
      </right>
      <top/>
      <bottom style="thin">
        <color theme="0" tint="-0.24994659260841701"/>
      </bottom>
      <diagonal/>
    </border>
    <border>
      <left style="medium">
        <color theme="4"/>
      </left>
      <right style="medium">
        <color theme="4"/>
      </right>
      <top style="thin">
        <color theme="0" tint="-0.24994659260841701"/>
      </top>
      <bottom style="medium">
        <color theme="4"/>
      </bottom>
      <diagonal/>
    </border>
    <border>
      <left style="medium">
        <color theme="4" tint="-0.24994659260841701"/>
      </left>
      <right style="thin">
        <color theme="0" tint="-0.24994659260841701"/>
      </right>
      <top style="thin">
        <color theme="0" tint="-0.24994659260841701"/>
      </top>
      <bottom style="thin">
        <color theme="0" tint="-0.24994659260841701"/>
      </bottom>
      <diagonal/>
    </border>
    <border>
      <left style="thin">
        <color theme="4"/>
      </left>
      <right style="medium">
        <color theme="4" tint="-0.24994659260841701"/>
      </right>
      <top style="thin">
        <color theme="0" tint="-0.24994659260841701"/>
      </top>
      <bottom style="thin">
        <color theme="0" tint="-0.24994659260841701"/>
      </bottom>
      <diagonal/>
    </border>
    <border>
      <left style="thin">
        <color theme="4"/>
      </left>
      <right style="medium">
        <color theme="4" tint="-0.24994659260841701"/>
      </right>
      <top style="thin">
        <color theme="0" tint="-0.24994659260841701"/>
      </top>
      <bottom/>
      <diagonal/>
    </border>
    <border>
      <left/>
      <right/>
      <top style="thin">
        <color theme="0"/>
      </top>
      <bottom style="thin">
        <color theme="0"/>
      </bottom>
      <diagonal/>
    </border>
    <border>
      <left style="medium">
        <color theme="4"/>
      </left>
      <right style="medium">
        <color theme="4"/>
      </right>
      <top style="thin">
        <color theme="0" tint="-0.24994659260841701"/>
      </top>
      <bottom/>
      <diagonal/>
    </border>
    <border>
      <left style="thin">
        <color theme="4"/>
      </left>
      <right style="medium">
        <color theme="4" tint="-0.24994659260841701"/>
      </right>
      <top style="thin">
        <color theme="0" tint="-0.24994659260841701"/>
      </top>
      <bottom style="medium">
        <color theme="4" tint="-0.24994659260841701"/>
      </bottom>
      <diagonal/>
    </border>
    <border>
      <left style="medium">
        <color theme="4"/>
      </left>
      <right/>
      <top/>
      <bottom/>
      <diagonal/>
    </border>
    <border>
      <left style="thin">
        <color indexed="64"/>
      </left>
      <right style="thin">
        <color indexed="64"/>
      </right>
      <top style="thin">
        <color indexed="64"/>
      </top>
      <bottom style="thin">
        <color indexed="64"/>
      </bottom>
      <diagonal/>
    </border>
    <border>
      <left/>
      <right/>
      <top style="thin">
        <color theme="0" tint="-0.24994659260841701"/>
      </top>
      <bottom style="thin">
        <color theme="0" tint="-0.24994659260841701"/>
      </bottom>
      <diagonal/>
    </border>
    <border>
      <left/>
      <right style="medium">
        <color rgb="FF4472C4"/>
      </right>
      <top/>
      <bottom style="thin">
        <color theme="0" tint="-0.24994659260841701"/>
      </bottom>
      <diagonal/>
    </border>
    <border>
      <left style="thin">
        <color theme="0" tint="-0.34998626667073579"/>
      </left>
      <right style="medium">
        <color rgb="FF5B9BD6"/>
      </right>
      <top style="thin">
        <color theme="0" tint="-0.34998626667073579"/>
      </top>
      <bottom/>
      <diagonal/>
    </border>
    <border>
      <left style="thin">
        <color theme="0" tint="-0.24994659260841701"/>
      </left>
      <right style="thin">
        <color theme="0" tint="-0.34998626667073579"/>
      </right>
      <top style="thin">
        <color theme="0" tint="-0.24994659260841701"/>
      </top>
      <bottom style="thin">
        <color theme="0" tint="-0.24994659260841701"/>
      </bottom>
      <diagonal/>
    </border>
    <border>
      <left style="thin">
        <color theme="0" tint="-0.24994659260841701"/>
      </left>
      <right style="thin">
        <color theme="0" tint="-0.34998626667073579"/>
      </right>
      <top style="thin">
        <color theme="0" tint="-0.24994659260841701"/>
      </top>
      <bottom/>
      <diagonal/>
    </border>
    <border>
      <left style="thin">
        <color theme="0" tint="-0.34998626667073579"/>
      </left>
      <right style="thin">
        <color theme="0" tint="-0.34998626667073579"/>
      </right>
      <top/>
      <bottom style="thin">
        <color theme="0" tint="-0.24994659260841701"/>
      </bottom>
      <diagonal/>
    </border>
    <border>
      <left/>
      <right style="thin">
        <color theme="0" tint="-0.24994659260841701"/>
      </right>
      <top/>
      <bottom style="thin">
        <color theme="0" tint="-0.24994659260841701"/>
      </bottom>
      <diagonal/>
    </border>
    <border>
      <left/>
      <right style="thin">
        <color theme="0" tint="-0.24994659260841701"/>
      </right>
      <top style="thin">
        <color theme="0" tint="-0.24994659260841701"/>
      </top>
      <bottom style="thin">
        <color theme="0" tint="-0.34998626667073579"/>
      </bottom>
      <diagonal/>
    </border>
    <border>
      <left style="thin">
        <color theme="0" tint="-0.34998626667073579"/>
      </left>
      <right style="thin">
        <color theme="0" tint="-0.24994659260841701"/>
      </right>
      <top style="thin">
        <color theme="0" tint="-0.34998626667073579"/>
      </top>
      <bottom style="thin">
        <color theme="0" tint="-0.24994659260841701"/>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24994659260841701"/>
      </bottom>
      <diagonal/>
    </border>
    <border>
      <left style="thin">
        <color theme="0" tint="-0.34998626667073579"/>
      </left>
      <right style="thin">
        <color theme="0" tint="-0.34998626667073579"/>
      </right>
      <top style="thin">
        <color theme="0" tint="-0.24994659260841701"/>
      </top>
      <bottom/>
      <diagonal/>
    </border>
    <border>
      <left style="thin">
        <color theme="0" tint="-0.34998626667073579"/>
      </left>
      <right style="thin">
        <color theme="0" tint="-0.34998626667073579"/>
      </right>
      <top style="thin">
        <color theme="0" tint="-0.24994659260841701"/>
      </top>
      <bottom style="thin">
        <color theme="0" tint="-0.34998626667073579"/>
      </bottom>
      <diagonal/>
    </border>
    <border>
      <left style="thin">
        <color theme="0" tint="-0.24994659260841701"/>
      </left>
      <right style="thin">
        <color theme="0" tint="-0.34998626667073579"/>
      </right>
      <top style="thin">
        <color theme="0" tint="-0.34998626667073579"/>
      </top>
      <bottom style="thin">
        <color theme="0" tint="-0.24994659260841701"/>
      </bottom>
      <diagonal/>
    </border>
    <border>
      <left style="thin">
        <color theme="0" tint="-0.24994659260841701"/>
      </left>
      <right style="thin">
        <color theme="0" tint="-0.34998626667073579"/>
      </right>
      <top style="thin">
        <color theme="0" tint="-0.34998626667073579"/>
      </top>
      <bottom/>
      <diagonal/>
    </border>
    <border>
      <left style="thin">
        <color indexed="64"/>
      </left>
      <right style="medium">
        <color rgb="FF5B9BD6"/>
      </right>
      <top style="thin">
        <color indexed="64"/>
      </top>
      <bottom style="thin">
        <color indexed="64"/>
      </bottom>
      <diagonal/>
    </border>
    <border>
      <left/>
      <right style="medium">
        <color rgb="FF5B9BD6"/>
      </right>
      <top/>
      <bottom style="thin">
        <color theme="0" tint="-0.24994659260841701"/>
      </bottom>
      <diagonal/>
    </border>
    <border>
      <left style="thin">
        <color theme="0" tint="-0.24994659260841701"/>
      </left>
      <right style="thin">
        <color theme="0" tint="-0.34998626667073579"/>
      </right>
      <top style="thin">
        <color theme="0" tint="-0.24994659260841701"/>
      </top>
      <bottom style="medium">
        <color theme="4" tint="-0.24994659260841701"/>
      </bottom>
      <diagonal/>
    </border>
    <border>
      <left/>
      <right style="thin">
        <color rgb="FF4472C4"/>
      </right>
      <top style="thin">
        <color theme="0" tint="-0.24994659260841701"/>
      </top>
      <bottom style="thin">
        <color theme="0" tint="-0.24994659260841701"/>
      </bottom>
      <diagonal/>
    </border>
    <border>
      <left/>
      <right style="thin">
        <color rgb="FF4472C4"/>
      </right>
      <top style="thin">
        <color theme="0" tint="-0.24994659260841701"/>
      </top>
      <bottom style="medium">
        <color theme="4" tint="-0.24994659260841701"/>
      </bottom>
      <diagonal/>
    </border>
    <border>
      <left/>
      <right style="medium">
        <color theme="4"/>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right style="thin">
        <color theme="0" tint="-0.34998626667073579"/>
      </right>
      <top style="thin">
        <color theme="0" tint="-0.24994659260841701"/>
      </top>
      <bottom style="thin">
        <color theme="0" tint="-0.24994659260841701"/>
      </bottom>
      <diagonal/>
    </border>
    <border>
      <left style="thin">
        <color theme="0" tint="-0.34998626667073579"/>
      </left>
      <right/>
      <top style="thin">
        <color theme="0" tint="-0.24994659260841701"/>
      </top>
      <bottom style="thin">
        <color theme="0" tint="-0.34998626667073579"/>
      </bottom>
      <diagonal/>
    </border>
    <border>
      <left/>
      <right style="thin">
        <color theme="0" tint="-0.34998626667073579"/>
      </right>
      <top style="thin">
        <color theme="0" tint="-0.24994659260841701"/>
      </top>
      <bottom style="thin">
        <color theme="0" tint="-0.34998626667073579"/>
      </bottom>
      <diagonal/>
    </border>
    <border>
      <left style="thin">
        <color theme="0" tint="-0.34998626667073579"/>
      </left>
      <right style="thin">
        <color theme="0" tint="-0.34998626667073579"/>
      </right>
      <top style="thin">
        <color theme="0" tint="-0.24994659260841701"/>
      </top>
      <bottom style="thin">
        <color theme="0" tint="-0.24994659260841701"/>
      </bottom>
      <diagonal/>
    </border>
    <border>
      <left style="thin">
        <color theme="0" tint="-0.24994659260841701"/>
      </left>
      <right style="thin">
        <color theme="0" tint="-0.34998626667073579"/>
      </right>
      <top/>
      <bottom style="thin">
        <color theme="0" tint="-0.24994659260841701"/>
      </bottom>
      <diagonal/>
    </border>
    <border>
      <left style="thin">
        <color theme="0" tint="-0.24994659260841701"/>
      </left>
      <right style="thin">
        <color theme="4"/>
      </right>
      <top/>
      <bottom style="medium">
        <color theme="4" tint="-0.24994659260841701"/>
      </bottom>
      <diagonal/>
    </border>
    <border>
      <left style="thin">
        <color theme="0" tint="-0.24994659260841701"/>
      </left>
      <right style="thin">
        <color theme="0" tint="-0.34998626667073579"/>
      </right>
      <top style="thin">
        <color theme="0" tint="-0.24994659260841701"/>
      </top>
      <bottom style="thin">
        <color theme="0" tint="-0.34998626667073579"/>
      </bottom>
      <diagonal/>
    </border>
    <border>
      <left style="thin">
        <color theme="0" tint="-0.24994659260841701"/>
      </left>
      <right style="thin">
        <color theme="0" tint="-0.34998626667073579"/>
      </right>
      <top style="thin">
        <color theme="0" tint="-0.24994659260841701"/>
      </top>
      <bottom style="medium">
        <color theme="4"/>
      </bottom>
      <diagonal/>
    </border>
    <border>
      <left/>
      <right/>
      <top style="thin">
        <color theme="0" tint="-0.24994659260841701"/>
      </top>
      <bottom style="medium">
        <color theme="4"/>
      </bottom>
      <diagonal/>
    </border>
    <border>
      <left style="thin">
        <color theme="0" tint="-0.24994659260841701"/>
      </left>
      <right/>
      <top/>
      <bottom style="medium">
        <color rgb="FF4472C4"/>
      </bottom>
      <diagonal/>
    </border>
    <border>
      <left style="thin">
        <color theme="0" tint="-0.24994659260841701"/>
      </left>
      <right style="thin">
        <color theme="0" tint="-0.34998626667073579"/>
      </right>
      <top style="thin">
        <color theme="0" tint="-0.34998626667073579"/>
      </top>
      <bottom style="thin">
        <color theme="0" tint="-0.34998626667073579"/>
      </bottom>
      <diagonal/>
    </border>
    <border>
      <left/>
      <right style="medium">
        <color theme="4" tint="-0.24994659260841701"/>
      </right>
      <top style="thin">
        <color theme="0" tint="-0.34998626667073579"/>
      </top>
      <bottom style="thin">
        <color theme="0" tint="-0.34998626667073579"/>
      </bottom>
      <diagonal/>
    </border>
    <border>
      <left/>
      <right style="medium">
        <color theme="4"/>
      </right>
      <top style="thin">
        <color theme="0" tint="-0.24994659260841701"/>
      </top>
      <bottom/>
      <diagonal/>
    </border>
    <border>
      <left/>
      <right style="medium">
        <color theme="4" tint="-0.24994659260841701"/>
      </right>
      <top style="thin">
        <color theme="0" tint="-0.24994659260841701"/>
      </top>
      <bottom style="thin">
        <color theme="0" tint="-0.24994659260841701"/>
      </bottom>
      <diagonal/>
    </border>
    <border>
      <left/>
      <right style="medium">
        <color theme="4" tint="-0.24994659260841701"/>
      </right>
      <top style="thin">
        <color theme="0" tint="-0.34998626667073579"/>
      </top>
      <bottom style="medium">
        <color theme="4" tint="-0.24994659260841701"/>
      </bottom>
      <diagonal/>
    </border>
    <border>
      <left/>
      <right style="thin">
        <color rgb="FF4472C4"/>
      </right>
      <top style="thin">
        <color theme="0" tint="-0.34998626667073579"/>
      </top>
      <bottom style="medium">
        <color theme="4" tint="-0.24994659260841701"/>
      </bottom>
      <diagonal/>
    </border>
    <border>
      <left style="thin">
        <color theme="0" tint="-0.24994659260841701"/>
      </left>
      <right style="thin">
        <color theme="0" tint="-0.34998626667073579"/>
      </right>
      <top style="thin">
        <color theme="0" tint="-0.34998626667073579"/>
      </top>
      <bottom style="medium">
        <color theme="4" tint="-0.24994659260841701"/>
      </bottom>
      <diagonal/>
    </border>
    <border>
      <left/>
      <right/>
      <top style="thin">
        <color theme="0" tint="-0.24994659260841701"/>
      </top>
      <bottom style="medium">
        <color theme="4" tint="-0.24994659260841701"/>
      </bottom>
      <diagonal/>
    </border>
    <border>
      <left style="thin">
        <color theme="0" tint="-0.24994659260841701"/>
      </left>
      <right/>
      <top/>
      <bottom style="medium">
        <color theme="4" tint="-0.24994659260841701"/>
      </bottom>
      <diagonal/>
    </border>
    <border>
      <left/>
      <right style="medium">
        <color theme="4" tint="-0.24994659260841701"/>
      </right>
      <top style="thin">
        <color theme="0" tint="-0.24994659260841701"/>
      </top>
      <bottom style="medium">
        <color theme="4" tint="-0.24994659260841701"/>
      </bottom>
      <diagonal/>
    </border>
    <border>
      <left style="medium">
        <color rgb="FF5B9BD6"/>
      </left>
      <right/>
      <top/>
      <bottom/>
      <diagonal/>
    </border>
    <border>
      <left style="thin">
        <color theme="4"/>
      </left>
      <right style="medium">
        <color rgb="FF5B9BD6"/>
      </right>
      <top style="thin">
        <color theme="0" tint="-0.24994659260841701"/>
      </top>
      <bottom style="thin">
        <color theme="0" tint="-0.24994659260841701"/>
      </bottom>
      <diagonal/>
    </border>
    <border>
      <left style="thin">
        <color theme="4"/>
      </left>
      <right style="medium">
        <color rgb="FF5B9BD6"/>
      </right>
      <top style="thin">
        <color theme="0" tint="-0.24994659260841701"/>
      </top>
      <bottom style="medium">
        <color rgb="FF5B9BD6"/>
      </bottom>
      <diagonal/>
    </border>
    <border>
      <left style="thin">
        <color theme="0" tint="-0.34998626667073579"/>
      </left>
      <right style="thin">
        <color theme="0" tint="-0.34998626667073579"/>
      </right>
      <top style="thin">
        <color theme="0" tint="-0.24994659260841701"/>
      </top>
      <bottom style="medium">
        <color rgb="FF5B9BD6"/>
      </bottom>
      <diagonal/>
    </border>
  </borders>
  <cellStyleXfs count="1">
    <xf numFmtId="0" fontId="0" fillId="0" borderId="0"/>
  </cellStyleXfs>
  <cellXfs count="407">
    <xf numFmtId="0" fontId="0" fillId="0" borderId="0" xfId="0"/>
    <xf numFmtId="0" fontId="6" fillId="2" borderId="0" xfId="0" applyFont="1" applyFill="1"/>
    <xf numFmtId="0" fontId="0" fillId="2" borderId="0" xfId="0" applyFill="1"/>
    <xf numFmtId="0" fontId="7" fillId="2" borderId="0" xfId="0" applyFont="1" applyFill="1"/>
    <xf numFmtId="0" fontId="6" fillId="2" borderId="0" xfId="0" quotePrefix="1" applyFont="1" applyFill="1"/>
    <xf numFmtId="0" fontId="6" fillId="2" borderId="0" xfId="0" quotePrefix="1" applyFont="1" applyFill="1" applyAlignment="1">
      <alignment horizontal="left" wrapText="1"/>
    </xf>
    <xf numFmtId="0" fontId="5" fillId="2" borderId="0" xfId="0" applyFont="1" applyFill="1" applyAlignment="1">
      <alignment horizontal="left" vertical="center"/>
    </xf>
    <xf numFmtId="0" fontId="8" fillId="2" borderId="0" xfId="0" applyFont="1" applyFill="1" applyAlignment="1">
      <alignment horizontal="left" vertical="center"/>
    </xf>
    <xf numFmtId="0" fontId="1" fillId="2" borderId="0" xfId="0" applyFont="1" applyFill="1" applyAlignment="1">
      <alignment horizontal="left" vertical="center"/>
    </xf>
    <xf numFmtId="0" fontId="5" fillId="0" borderId="0" xfId="0" applyFont="1" applyAlignment="1">
      <alignment horizontal="left" vertical="center"/>
    </xf>
    <xf numFmtId="0" fontId="9" fillId="3" borderId="0" xfId="0" applyFont="1" applyFill="1" applyAlignment="1">
      <alignment horizontal="center" vertical="center"/>
    </xf>
    <xf numFmtId="0" fontId="9" fillId="2" borderId="0" xfId="0" applyFont="1" applyFill="1" applyAlignment="1">
      <alignment horizontal="center" vertical="center"/>
    </xf>
    <xf numFmtId="0" fontId="10" fillId="2" borderId="1" xfId="0" quotePrefix="1" applyFont="1" applyFill="1" applyBorder="1" applyAlignment="1">
      <alignment horizontal="left" wrapText="1"/>
    </xf>
    <xf numFmtId="0" fontId="7" fillId="2" borderId="0" xfId="0" quotePrefix="1" applyFont="1" applyFill="1" applyAlignment="1">
      <alignment horizontal="left" vertical="center"/>
    </xf>
    <xf numFmtId="0" fontId="11" fillId="2" borderId="0" xfId="0" applyFont="1" applyFill="1" applyAlignment="1">
      <alignment horizontal="center" vertical="center"/>
    </xf>
    <xf numFmtId="0" fontId="12" fillId="2" borderId="2" xfId="0" quotePrefix="1" applyFont="1" applyFill="1" applyBorder="1" applyAlignment="1">
      <alignment horizontal="left" vertical="center" indent="1"/>
    </xf>
    <xf numFmtId="0" fontId="13" fillId="2" borderId="0" xfId="0" applyFont="1" applyFill="1"/>
    <xf numFmtId="0" fontId="11" fillId="2" borderId="0" xfId="0" applyFont="1" applyFill="1" applyAlignment="1">
      <alignment horizontal="left" vertical="center"/>
    </xf>
    <xf numFmtId="0" fontId="14" fillId="2" borderId="0" xfId="0" applyFont="1" applyFill="1" applyAlignment="1">
      <alignment horizontal="left" vertical="center"/>
    </xf>
    <xf numFmtId="0" fontId="11" fillId="2" borderId="0" xfId="0" applyFont="1" applyFill="1" applyAlignment="1">
      <alignment vertical="top"/>
    </xf>
    <xf numFmtId="0" fontId="15" fillId="0" borderId="3" xfId="0" applyFont="1" applyBorder="1" applyAlignment="1">
      <alignment horizontal="center" vertical="center"/>
    </xf>
    <xf numFmtId="0" fontId="6" fillId="3" borderId="0" xfId="0" applyFont="1" applyFill="1" applyAlignment="1">
      <alignment vertical="center"/>
    </xf>
    <xf numFmtId="0" fontId="8" fillId="3" borderId="0" xfId="0" applyFont="1" applyFill="1" applyAlignment="1">
      <alignment horizontal="left" vertical="center"/>
    </xf>
    <xf numFmtId="0" fontId="9" fillId="2" borderId="0" xfId="0" applyFont="1" applyFill="1" applyAlignment="1">
      <alignment horizontal="left" vertical="center"/>
    </xf>
    <xf numFmtId="0" fontId="6" fillId="2" borderId="0" xfId="0" applyFont="1" applyFill="1" applyAlignment="1">
      <alignment vertical="center"/>
    </xf>
    <xf numFmtId="0" fontId="13" fillId="2" borderId="0" xfId="0" applyFont="1" applyFill="1" applyAlignment="1">
      <alignment vertical="center"/>
    </xf>
    <xf numFmtId="0" fontId="0" fillId="2" borderId="0" xfId="0" applyFill="1" applyAlignment="1">
      <alignment vertical="center"/>
    </xf>
    <xf numFmtId="0" fontId="13" fillId="2" borderId="0" xfId="0" applyFont="1" applyFill="1" applyAlignment="1">
      <alignment horizontal="left" vertical="center" wrapText="1" indent="1"/>
    </xf>
    <xf numFmtId="0" fontId="13" fillId="2" borderId="0" xfId="0" applyFont="1" applyFill="1" applyAlignment="1">
      <alignment horizontal="left" vertical="center" indent="1"/>
    </xf>
    <xf numFmtId="0" fontId="4" fillId="2" borderId="0" xfId="0" applyFont="1" applyFill="1" applyAlignment="1">
      <alignment horizontal="left" vertical="center"/>
    </xf>
    <xf numFmtId="0" fontId="16" fillId="3" borderId="11" xfId="0" applyFont="1" applyFill="1" applyBorder="1" applyAlignment="1">
      <alignment horizontal="center" vertical="center"/>
    </xf>
    <xf numFmtId="0" fontId="16" fillId="3" borderId="12" xfId="0" applyFont="1" applyFill="1" applyBorder="1" applyAlignment="1">
      <alignment horizontal="center" vertical="center"/>
    </xf>
    <xf numFmtId="0" fontId="8" fillId="4" borderId="13" xfId="0" applyFont="1" applyFill="1" applyBorder="1" applyAlignment="1">
      <alignment horizontal="left" vertical="center" indent="1"/>
    </xf>
    <xf numFmtId="0" fontId="11" fillId="0" borderId="0" xfId="0" applyFont="1" applyAlignment="1">
      <alignment horizontal="left" vertical="center"/>
    </xf>
    <xf numFmtId="0" fontId="13" fillId="0" borderId="0" xfId="0" applyFont="1"/>
    <xf numFmtId="0" fontId="15" fillId="2" borderId="0" xfId="0" applyFont="1" applyFill="1" applyAlignment="1">
      <alignment horizontal="left" vertical="center" indent="1"/>
    </xf>
    <xf numFmtId="0" fontId="19" fillId="2" borderId="0" xfId="0" applyFont="1" applyFill="1" applyAlignment="1">
      <alignment vertical="center"/>
    </xf>
    <xf numFmtId="0" fontId="6" fillId="0" borderId="0" xfId="0" applyFont="1" applyAlignment="1">
      <alignment horizontal="left" vertical="center" indent="14"/>
    </xf>
    <xf numFmtId="0" fontId="0" fillId="2" borderId="0" xfId="0" applyFill="1" applyAlignment="1">
      <alignment horizontal="left"/>
    </xf>
    <xf numFmtId="0" fontId="6" fillId="0" borderId="0" xfId="0" applyFont="1" applyAlignment="1">
      <alignment vertical="center"/>
    </xf>
    <xf numFmtId="0" fontId="8" fillId="0" borderId="0" xfId="0" applyFont="1" applyAlignment="1">
      <alignment horizontal="left" vertical="center"/>
    </xf>
    <xf numFmtId="0" fontId="9" fillId="0" borderId="0" xfId="0" applyFont="1" applyAlignment="1">
      <alignment horizontal="left" vertical="center" indent="1"/>
    </xf>
    <xf numFmtId="0" fontId="6" fillId="5" borderId="0" xfId="0" applyFont="1" applyFill="1"/>
    <xf numFmtId="0" fontId="0" fillId="5" borderId="0" xfId="0" applyFill="1"/>
    <xf numFmtId="0" fontId="13" fillId="2" borderId="25" xfId="0" applyFont="1" applyFill="1" applyBorder="1" applyAlignment="1">
      <alignment horizontal="left" vertical="center" indent="1"/>
    </xf>
    <xf numFmtId="0" fontId="11" fillId="4" borderId="29" xfId="0" applyFont="1" applyFill="1" applyBorder="1" applyAlignment="1">
      <alignment horizontal="left" vertical="center" wrapText="1" indent="1"/>
    </xf>
    <xf numFmtId="0" fontId="13" fillId="0" borderId="31" xfId="0" applyFont="1" applyBorder="1" applyAlignment="1">
      <alignment horizontal="left" vertical="center" indent="4"/>
    </xf>
    <xf numFmtId="0" fontId="13" fillId="0" borderId="32" xfId="0" applyFont="1" applyBorder="1" applyAlignment="1">
      <alignment horizontal="left" vertical="center" indent="1"/>
    </xf>
    <xf numFmtId="0" fontId="13" fillId="0" borderId="32" xfId="0" applyFont="1" applyBorder="1" applyAlignment="1">
      <alignment horizontal="left" vertical="center" indent="3"/>
    </xf>
    <xf numFmtId="0" fontId="13" fillId="0" borderId="32" xfId="0" applyFont="1" applyBorder="1" applyAlignment="1">
      <alignment horizontal="left" vertical="center" indent="5"/>
    </xf>
    <xf numFmtId="0" fontId="11" fillId="4" borderId="33" xfId="0" applyFont="1" applyFill="1" applyBorder="1" applyAlignment="1">
      <alignment horizontal="left" vertical="center" wrapText="1" indent="1"/>
    </xf>
    <xf numFmtId="0" fontId="13" fillId="2" borderId="28" xfId="0" applyFont="1" applyFill="1" applyBorder="1" applyAlignment="1">
      <alignment horizontal="left" vertical="center" indent="1"/>
    </xf>
    <xf numFmtId="0" fontId="13" fillId="2" borderId="31" xfId="0" applyFont="1" applyFill="1" applyBorder="1" applyAlignment="1">
      <alignment horizontal="left" vertical="center" indent="1"/>
    </xf>
    <xf numFmtId="0" fontId="13" fillId="2" borderId="28" xfId="0" applyFont="1" applyFill="1" applyBorder="1" applyAlignment="1">
      <alignment horizontal="left" vertical="center" indent="3"/>
    </xf>
    <xf numFmtId="0" fontId="13" fillId="2" borderId="25" xfId="0" applyFont="1" applyFill="1" applyBorder="1" applyAlignment="1">
      <alignment horizontal="left" vertical="center" indent="3"/>
    </xf>
    <xf numFmtId="0" fontId="13" fillId="2" borderId="25" xfId="0" applyFont="1" applyFill="1" applyBorder="1" applyAlignment="1">
      <alignment horizontal="left" vertical="center" wrapText="1" indent="3"/>
    </xf>
    <xf numFmtId="0" fontId="15" fillId="0" borderId="34" xfId="0" applyFont="1" applyBorder="1" applyAlignment="1">
      <alignment horizontal="center" vertical="center"/>
    </xf>
    <xf numFmtId="0" fontId="13" fillId="2" borderId="38" xfId="0" applyFont="1" applyFill="1" applyBorder="1" applyAlignment="1">
      <alignment vertical="center"/>
    </xf>
    <xf numFmtId="0" fontId="6" fillId="2" borderId="38" xfId="0" applyFont="1" applyFill="1" applyBorder="1" applyAlignment="1">
      <alignment vertical="center"/>
    </xf>
    <xf numFmtId="0" fontId="15" fillId="5" borderId="0" xfId="0" applyFont="1" applyFill="1" applyAlignment="1">
      <alignment horizontal="left" vertical="center" indent="1"/>
    </xf>
    <xf numFmtId="0" fontId="3" fillId="2" borderId="0" xfId="0" applyFont="1" applyFill="1"/>
    <xf numFmtId="0" fontId="13" fillId="0" borderId="0" xfId="0" applyFont="1" applyAlignment="1">
      <alignment horizontal="left" vertical="center" indent="1"/>
    </xf>
    <xf numFmtId="0" fontId="16" fillId="0" borderId="0" xfId="0" applyFont="1" applyAlignment="1">
      <alignment horizontal="left" vertical="center"/>
    </xf>
    <xf numFmtId="0" fontId="15" fillId="0" borderId="0" xfId="0" applyFont="1" applyAlignment="1">
      <alignment horizontal="left" vertical="center" indent="1"/>
    </xf>
    <xf numFmtId="0" fontId="6" fillId="0" borderId="0" xfId="0" applyFont="1"/>
    <xf numFmtId="0" fontId="15" fillId="0" borderId="49" xfId="0" applyFont="1" applyBorder="1" applyAlignment="1">
      <alignment horizontal="left" vertical="center" indent="1"/>
    </xf>
    <xf numFmtId="0" fontId="13" fillId="0" borderId="32" xfId="0" applyFont="1" applyBorder="1" applyAlignment="1">
      <alignment horizontal="left" vertical="center" wrapText="1" indent="1"/>
    </xf>
    <xf numFmtId="0" fontId="6" fillId="6" borderId="0" xfId="0" applyFont="1" applyFill="1" applyAlignment="1">
      <alignment vertical="center"/>
    </xf>
    <xf numFmtId="0" fontId="11" fillId="4" borderId="65" xfId="0" applyFont="1" applyFill="1" applyBorder="1" applyAlignment="1">
      <alignment horizontal="left" vertical="center" wrapText="1" indent="1"/>
    </xf>
    <xf numFmtId="0" fontId="11" fillId="4" borderId="70" xfId="0" applyFont="1" applyFill="1" applyBorder="1" applyAlignment="1">
      <alignment horizontal="left" vertical="center" wrapText="1" indent="1"/>
    </xf>
    <xf numFmtId="0" fontId="4" fillId="0" borderId="0" xfId="0" applyFont="1" applyAlignment="1">
      <alignment horizontal="left" vertical="center"/>
    </xf>
    <xf numFmtId="0" fontId="16" fillId="7" borderId="12" xfId="0" applyFont="1" applyFill="1" applyBorder="1" applyAlignment="1">
      <alignment horizontal="center" vertical="center"/>
    </xf>
    <xf numFmtId="0" fontId="15" fillId="7" borderId="0" xfId="0" applyFont="1" applyFill="1" applyAlignment="1">
      <alignment vertical="top"/>
    </xf>
    <xf numFmtId="0" fontId="3" fillId="0" borderId="30" xfId="0" applyFont="1" applyBorder="1" applyAlignment="1">
      <alignment horizontal="left" vertical="center" indent="1"/>
    </xf>
    <xf numFmtId="0" fontId="0" fillId="0" borderId="0" xfId="0" applyAlignment="1">
      <alignment wrapText="1"/>
    </xf>
    <xf numFmtId="0" fontId="11" fillId="2" borderId="0" xfId="0" applyFont="1" applyFill="1" applyAlignment="1">
      <alignment horizontal="left" vertical="center" wrapText="1"/>
    </xf>
    <xf numFmtId="0" fontId="13" fillId="2" borderId="77" xfId="0" applyFont="1" applyFill="1" applyBorder="1" applyAlignment="1">
      <alignment vertical="center"/>
    </xf>
    <xf numFmtId="0" fontId="6" fillId="2" borderId="77" xfId="0" applyFont="1" applyFill="1" applyBorder="1" applyAlignment="1">
      <alignment vertical="center"/>
    </xf>
    <xf numFmtId="0" fontId="6" fillId="2" borderId="78" xfId="0" applyFont="1" applyFill="1" applyBorder="1" applyAlignment="1">
      <alignment vertical="center"/>
    </xf>
    <xf numFmtId="0" fontId="11" fillId="4" borderId="79" xfId="0" applyFont="1" applyFill="1" applyBorder="1" applyAlignment="1">
      <alignment horizontal="left" vertical="center" wrapText="1" indent="1"/>
    </xf>
    <xf numFmtId="0" fontId="13" fillId="2" borderId="81" xfId="0" applyFont="1" applyFill="1" applyBorder="1" applyAlignment="1">
      <alignment horizontal="left" vertical="center" indent="1"/>
    </xf>
    <xf numFmtId="0" fontId="11" fillId="4" borderId="82" xfId="0" applyFont="1" applyFill="1" applyBorder="1" applyAlignment="1">
      <alignment horizontal="left" vertical="center" wrapText="1" indent="1"/>
    </xf>
    <xf numFmtId="0" fontId="13" fillId="0" borderId="84" xfId="0" applyFont="1" applyBorder="1" applyAlignment="1">
      <alignment horizontal="left" vertical="center" indent="1"/>
    </xf>
    <xf numFmtId="0" fontId="13" fillId="0" borderId="77" xfId="0" applyFont="1" applyBorder="1" applyAlignment="1">
      <alignment vertical="center"/>
    </xf>
    <xf numFmtId="0" fontId="11" fillId="4" borderId="85" xfId="0" applyFont="1" applyFill="1" applyBorder="1" applyAlignment="1">
      <alignment horizontal="left" vertical="center" wrapText="1" indent="1"/>
    </xf>
    <xf numFmtId="0" fontId="13" fillId="0" borderId="88" xfId="0" applyFont="1" applyBorder="1" applyAlignment="1">
      <alignment horizontal="left" vertical="center" wrapText="1" indent="1"/>
    </xf>
    <xf numFmtId="0" fontId="0" fillId="2" borderId="77" xfId="0" applyFill="1" applyBorder="1" applyAlignment="1">
      <alignment vertical="center"/>
    </xf>
    <xf numFmtId="0" fontId="13" fillId="2" borderId="93" xfId="0" applyFont="1" applyFill="1" applyBorder="1" applyAlignment="1">
      <alignment horizontal="left" vertical="center"/>
    </xf>
    <xf numFmtId="0" fontId="13" fillId="2" borderId="95" xfId="0" applyFont="1" applyFill="1" applyBorder="1" applyAlignment="1">
      <alignment horizontal="left" vertical="center"/>
    </xf>
    <xf numFmtId="0" fontId="3" fillId="0" borderId="92" xfId="0" applyFont="1" applyBorder="1" applyAlignment="1">
      <alignment horizontal="left" wrapText="1" indent="1"/>
    </xf>
    <xf numFmtId="0" fontId="3" fillId="0" borderId="92" xfId="0" applyFont="1" applyBorder="1" applyAlignment="1">
      <alignment horizontal="left" indent="3"/>
    </xf>
    <xf numFmtId="0" fontId="3" fillId="0" borderId="92" xfId="0" applyFont="1" applyBorder="1" applyAlignment="1">
      <alignment horizontal="left" indent="1"/>
    </xf>
    <xf numFmtId="0" fontId="13" fillId="0" borderId="94" xfId="0" applyFont="1" applyBorder="1" applyAlignment="1">
      <alignment horizontal="left" vertical="center" indent="1"/>
    </xf>
    <xf numFmtId="0" fontId="13" fillId="0" borderId="89" xfId="0" applyFont="1" applyBorder="1" applyAlignment="1">
      <alignment horizontal="left" vertical="center" wrapText="1" indent="1"/>
    </xf>
    <xf numFmtId="0" fontId="13" fillId="0" borderId="89" xfId="0" applyFont="1" applyBorder="1" applyAlignment="1">
      <alignment horizontal="left" vertical="center" indent="1"/>
    </xf>
    <xf numFmtId="0" fontId="13" fillId="0" borderId="89" xfId="0" applyFont="1" applyBorder="1" applyAlignment="1">
      <alignment horizontal="left" vertical="center" indent="3"/>
    </xf>
    <xf numFmtId="0" fontId="3" fillId="0" borderId="83" xfId="0" applyFont="1" applyBorder="1" applyAlignment="1">
      <alignment horizontal="left" indent="1"/>
    </xf>
    <xf numFmtId="0" fontId="3" fillId="0" borderId="83" xfId="0" applyFont="1" applyBorder="1" applyAlignment="1">
      <alignment horizontal="left" indent="3"/>
    </xf>
    <xf numFmtId="0" fontId="3" fillId="0" borderId="83" xfId="0" applyFont="1" applyBorder="1" applyAlignment="1">
      <alignment horizontal="left" indent="5"/>
    </xf>
    <xf numFmtId="0" fontId="3" fillId="0" borderId="80" xfId="0" applyFont="1" applyBorder="1" applyAlignment="1">
      <alignment horizontal="left" indent="1"/>
    </xf>
    <xf numFmtId="0" fontId="21" fillId="3" borderId="0" xfId="0" applyFont="1" applyFill="1" applyAlignment="1">
      <alignment horizontal="left" vertical="center" indent="1"/>
    </xf>
    <xf numFmtId="0" fontId="3" fillId="0" borderId="87" xfId="0" applyFont="1" applyBorder="1" applyAlignment="1">
      <alignment horizontal="left" vertical="center" wrapText="1" indent="1"/>
    </xf>
    <xf numFmtId="0" fontId="3" fillId="0" borderId="87" xfId="0" applyFont="1" applyBorder="1" applyAlignment="1">
      <alignment horizontal="left" vertical="center" wrapText="1" indent="3"/>
    </xf>
    <xf numFmtId="0" fontId="3" fillId="0" borderId="87" xfId="0" applyFont="1" applyBorder="1" applyAlignment="1">
      <alignment horizontal="left" vertical="center" indent="1"/>
    </xf>
    <xf numFmtId="0" fontId="3" fillId="0" borderId="87" xfId="0" applyFont="1" applyBorder="1" applyAlignment="1">
      <alignment horizontal="left" vertical="center" indent="3"/>
    </xf>
    <xf numFmtId="0" fontId="3" fillId="0" borderId="89" xfId="0" applyFont="1" applyBorder="1" applyAlignment="1">
      <alignment horizontal="left" vertical="center" indent="1"/>
    </xf>
    <xf numFmtId="0" fontId="3" fillId="0" borderId="89" xfId="0" applyFont="1" applyBorder="1" applyAlignment="1">
      <alignment horizontal="left" vertical="center" wrapText="1" indent="1"/>
    </xf>
    <xf numFmtId="0" fontId="0" fillId="0" borderId="90" xfId="0" applyBorder="1" applyAlignment="1">
      <alignment horizontal="left" vertical="center" indent="1"/>
    </xf>
    <xf numFmtId="0" fontId="3" fillId="0" borderId="89" xfId="0" applyFont="1" applyBorder="1" applyAlignment="1">
      <alignment horizontal="left" vertical="center" indent="3"/>
    </xf>
    <xf numFmtId="0" fontId="13" fillId="0" borderId="50" xfId="0" applyFont="1" applyBorder="1" applyAlignment="1">
      <alignment horizontal="left" vertical="center" indent="1"/>
    </xf>
    <xf numFmtId="0" fontId="13" fillId="0" borderId="50" xfId="0" applyFont="1" applyBorder="1" applyAlignment="1">
      <alignment horizontal="left" vertical="center" indent="3"/>
    </xf>
    <xf numFmtId="0" fontId="3" fillId="0" borderId="92" xfId="0" applyFont="1" applyBorder="1" applyAlignment="1">
      <alignment horizontal="left" vertical="center" wrapText="1" indent="1"/>
    </xf>
    <xf numFmtId="0" fontId="3" fillId="0" borderId="92" xfId="0" applyFont="1" applyBorder="1" applyAlignment="1">
      <alignment horizontal="left" vertical="center" indent="3"/>
    </xf>
    <xf numFmtId="0" fontId="3" fillId="0" borderId="92" xfId="0" applyFont="1" applyBorder="1" applyAlignment="1">
      <alignment horizontal="left" vertical="center" indent="1"/>
    </xf>
    <xf numFmtId="0" fontId="13" fillId="2" borderId="93" xfId="0" applyFont="1" applyFill="1" applyBorder="1" applyAlignment="1">
      <alignment horizontal="left"/>
    </xf>
    <xf numFmtId="0" fontId="3" fillId="0" borderId="91" xfId="0" applyFont="1" applyBorder="1" applyAlignment="1">
      <alignment horizontal="left" vertical="center" indent="1"/>
    </xf>
    <xf numFmtId="0" fontId="3" fillId="0" borderId="91" xfId="0" applyFont="1" applyBorder="1" applyAlignment="1">
      <alignment horizontal="left" vertical="center" wrapText="1" indent="1"/>
    </xf>
    <xf numFmtId="0" fontId="21" fillId="3" borderId="0" xfId="0" applyFont="1" applyFill="1" applyAlignment="1">
      <alignment horizontal="left" vertical="center"/>
    </xf>
    <xf numFmtId="0" fontId="3" fillId="0" borderId="94" xfId="0" applyFont="1" applyBorder="1" applyAlignment="1">
      <alignment horizontal="left" vertical="center" indent="1"/>
    </xf>
    <xf numFmtId="0" fontId="13" fillId="0" borderId="94" xfId="0" applyFont="1" applyBorder="1" applyAlignment="1">
      <alignment horizontal="left" vertical="center" wrapText="1" indent="1"/>
    </xf>
    <xf numFmtId="0" fontId="21" fillId="3" borderId="99" xfId="0" applyFont="1" applyFill="1" applyBorder="1" applyAlignment="1">
      <alignment horizontal="left" vertical="center" indent="1"/>
    </xf>
    <xf numFmtId="0" fontId="15" fillId="3" borderId="99" xfId="0" applyFont="1" applyFill="1" applyBorder="1" applyAlignment="1">
      <alignment horizontal="left" vertical="center" indent="1"/>
    </xf>
    <xf numFmtId="0" fontId="21" fillId="3" borderId="0" xfId="0" applyFont="1" applyFill="1" applyAlignment="1">
      <alignment horizontal="right" vertical="center" indent="1"/>
    </xf>
    <xf numFmtId="2" fontId="4" fillId="0" borderId="0" xfId="0" applyNumberFormat="1" applyFont="1" applyAlignment="1">
      <alignment horizontal="left" vertical="center"/>
    </xf>
    <xf numFmtId="0" fontId="13" fillId="2" borderId="95" xfId="0" applyFont="1" applyFill="1" applyBorder="1" applyAlignment="1">
      <alignment horizontal="left" vertical="center" indent="2"/>
    </xf>
    <xf numFmtId="0" fontId="13" fillId="2" borderId="0" xfId="0" applyFont="1" applyFill="1" applyAlignment="1">
      <alignment horizontal="left" vertical="center" indent="2"/>
    </xf>
    <xf numFmtId="0" fontId="13" fillId="0" borderId="46" xfId="0" applyFont="1" applyBorder="1" applyAlignment="1">
      <alignment horizontal="center" vertical="center"/>
    </xf>
    <xf numFmtId="0" fontId="13" fillId="0" borderId="73" xfId="0" applyFont="1" applyBorder="1" applyAlignment="1">
      <alignment horizontal="center" vertical="center"/>
    </xf>
    <xf numFmtId="0" fontId="13" fillId="0" borderId="47" xfId="0" applyFont="1" applyBorder="1" applyAlignment="1">
      <alignment horizontal="center" vertical="center"/>
    </xf>
    <xf numFmtId="0" fontId="13" fillId="0" borderId="71" xfId="0" applyFont="1" applyBorder="1" applyAlignment="1">
      <alignment horizontal="center" vertical="center"/>
    </xf>
    <xf numFmtId="0" fontId="13" fillId="0" borderId="72" xfId="0" applyFont="1" applyBorder="1" applyAlignment="1">
      <alignment horizontal="center" vertical="center"/>
    </xf>
    <xf numFmtId="0" fontId="13" fillId="0" borderId="48" xfId="0" applyFont="1" applyBorder="1" applyAlignment="1">
      <alignment horizontal="center" vertical="center"/>
    </xf>
    <xf numFmtId="0" fontId="13" fillId="0" borderId="0" xfId="0" applyFont="1" applyAlignment="1">
      <alignment horizontal="left" vertical="center" wrapText="1" indent="1"/>
    </xf>
    <xf numFmtId="0" fontId="13" fillId="0" borderId="0" xfId="0" applyFont="1" applyAlignment="1">
      <alignment vertical="center"/>
    </xf>
    <xf numFmtId="0" fontId="22" fillId="2" borderId="0" xfId="0" applyFont="1" applyFill="1" applyAlignment="1">
      <alignment vertical="top"/>
    </xf>
    <xf numFmtId="0" fontId="7" fillId="0" borderId="0" xfId="0" applyFont="1"/>
    <xf numFmtId="2" fontId="21" fillId="3" borderId="0" xfId="0" applyNumberFormat="1" applyFont="1" applyFill="1" applyAlignment="1">
      <alignment horizontal="left" vertical="center"/>
    </xf>
    <xf numFmtId="0" fontId="7" fillId="6" borderId="0" xfId="0" applyFont="1" applyFill="1" applyAlignment="1">
      <alignment vertical="center"/>
    </xf>
    <xf numFmtId="0" fontId="7" fillId="0" borderId="0" xfId="0" applyFont="1" applyAlignment="1">
      <alignment horizontal="left" vertical="center" indent="14"/>
    </xf>
    <xf numFmtId="0" fontId="7" fillId="0" borderId="0" xfId="0" applyFont="1" applyAlignment="1">
      <alignment vertical="center"/>
    </xf>
    <xf numFmtId="0" fontId="2" fillId="0" borderId="86" xfId="0" applyFont="1" applyBorder="1" applyAlignment="1">
      <alignment horizontal="left" vertical="center" wrapText="1" indent="1"/>
    </xf>
    <xf numFmtId="0" fontId="2" fillId="0" borderId="87" xfId="0" applyFont="1" applyBorder="1" applyAlignment="1">
      <alignment horizontal="left" vertical="center" wrapText="1" indent="1"/>
    </xf>
    <xf numFmtId="0" fontId="0" fillId="0" borderId="0" xfId="0" applyAlignment="1">
      <alignment horizontal="left" indent="2"/>
    </xf>
    <xf numFmtId="0" fontId="11" fillId="0" borderId="0" xfId="0" applyFont="1" applyAlignment="1">
      <alignment horizontal="left" vertical="center" indent="2"/>
    </xf>
    <xf numFmtId="0" fontId="13" fillId="0" borderId="77" xfId="0" applyFont="1" applyBorder="1" applyAlignment="1">
      <alignment horizontal="left" vertical="center" indent="2"/>
    </xf>
    <xf numFmtId="0" fontId="6" fillId="0" borderId="0" xfId="0" applyFont="1" applyAlignment="1">
      <alignment horizontal="left" vertical="center" indent="16"/>
    </xf>
    <xf numFmtId="0" fontId="6" fillId="0" borderId="0" xfId="0" applyFont="1" applyAlignment="1">
      <alignment horizontal="left" vertical="center" indent="2"/>
    </xf>
    <xf numFmtId="0" fontId="2" fillId="0" borderId="30" xfId="0" applyFont="1" applyBorder="1" applyAlignment="1">
      <alignment horizontal="left" vertical="center" indent="1"/>
    </xf>
    <xf numFmtId="0" fontId="3" fillId="0" borderId="30" xfId="0" applyFont="1" applyBorder="1" applyAlignment="1">
      <alignment horizontal="left" vertical="center" indent="3"/>
    </xf>
    <xf numFmtId="0" fontId="3" fillId="0" borderId="30" xfId="0" applyFont="1" applyBorder="1" applyAlignment="1">
      <alignment horizontal="left" vertical="center" wrapText="1" indent="1"/>
    </xf>
    <xf numFmtId="0" fontId="3" fillId="0" borderId="80" xfId="0" applyFont="1" applyBorder="1" applyAlignment="1">
      <alignment horizontal="left" indent="3"/>
    </xf>
    <xf numFmtId="0" fontId="3" fillId="0" borderId="80" xfId="0" applyFont="1" applyBorder="1" applyAlignment="1">
      <alignment horizontal="left" indent="5"/>
    </xf>
    <xf numFmtId="0" fontId="3" fillId="0" borderId="80" xfId="0" applyFont="1" applyBorder="1" applyAlignment="1">
      <alignment horizontal="left" wrapText="1" indent="1"/>
    </xf>
    <xf numFmtId="0" fontId="6" fillId="2" borderId="78" xfId="0" applyFont="1" applyFill="1" applyBorder="1" applyAlignment="1">
      <alignment vertical="center" wrapText="1"/>
    </xf>
    <xf numFmtId="0" fontId="6" fillId="0" borderId="0" xfId="0" applyFont="1" applyAlignment="1">
      <alignment horizontal="left" vertical="center" wrapText="1"/>
    </xf>
    <xf numFmtId="0" fontId="6" fillId="0" borderId="0" xfId="0" applyFont="1" applyAlignment="1">
      <alignment vertical="center" wrapText="1"/>
    </xf>
    <xf numFmtId="0" fontId="13" fillId="0" borderId="32" xfId="0" applyFont="1" applyBorder="1" applyAlignment="1">
      <alignment horizontal="left" vertical="center" wrapText="1" indent="3"/>
    </xf>
    <xf numFmtId="0" fontId="3" fillId="0" borderId="32" xfId="0" applyFont="1" applyBorder="1" applyAlignment="1">
      <alignment horizontal="left" vertical="center" indent="3"/>
    </xf>
    <xf numFmtId="0" fontId="2" fillId="0" borderId="89" xfId="0" applyFont="1" applyBorder="1" applyAlignment="1">
      <alignment horizontal="left" vertical="center" indent="1"/>
    </xf>
    <xf numFmtId="0" fontId="11" fillId="2" borderId="0" xfId="0" applyFont="1" applyFill="1" applyAlignment="1">
      <alignment horizontal="left" vertical="center" indent="2"/>
    </xf>
    <xf numFmtId="0" fontId="6" fillId="2" borderId="38" xfId="0" applyFont="1" applyFill="1" applyBorder="1" applyAlignment="1">
      <alignment horizontal="left" vertical="center" indent="2"/>
    </xf>
    <xf numFmtId="0" fontId="3" fillId="0" borderId="92" xfId="0" applyFont="1" applyBorder="1" applyAlignment="1">
      <alignment horizontal="left" wrapText="1" indent="3"/>
    </xf>
    <xf numFmtId="0" fontId="11" fillId="0" borderId="50" xfId="0" applyFont="1" applyBorder="1" applyAlignment="1">
      <alignment horizontal="left" vertical="center" indent="1"/>
    </xf>
    <xf numFmtId="0" fontId="3" fillId="0" borderId="92" xfId="0" applyFont="1" applyBorder="1" applyAlignment="1">
      <alignment horizontal="left" vertical="center" wrapText="1" indent="3"/>
    </xf>
    <xf numFmtId="0" fontId="3" fillId="0" borderId="91" xfId="0" applyFont="1" applyBorder="1" applyAlignment="1">
      <alignment horizontal="left" vertical="center" indent="3"/>
    </xf>
    <xf numFmtId="0" fontId="3" fillId="0" borderId="91" xfId="0" applyFont="1" applyBorder="1" applyAlignment="1">
      <alignment horizontal="left" vertical="center" indent="5"/>
    </xf>
    <xf numFmtId="0" fontId="11" fillId="0" borderId="94" xfId="0" applyFont="1" applyBorder="1" applyAlignment="1">
      <alignment horizontal="left" vertical="center" indent="1"/>
    </xf>
    <xf numFmtId="0" fontId="13" fillId="0" borderId="94" xfId="0" applyFont="1" applyBorder="1" applyAlignment="1">
      <alignment horizontal="left" vertical="center" indent="3"/>
    </xf>
    <xf numFmtId="0" fontId="3" fillId="0" borderId="100" xfId="0" applyFont="1" applyBorder="1" applyAlignment="1">
      <alignment horizontal="left" vertical="center" indent="1"/>
    </xf>
    <xf numFmtId="0" fontId="3" fillId="0" borderId="89" xfId="0" applyFont="1" applyBorder="1" applyAlignment="1">
      <alignment horizontal="left" vertical="center" indent="2"/>
    </xf>
    <xf numFmtId="0" fontId="13" fillId="0" borderId="89" xfId="0" applyFont="1" applyBorder="1" applyAlignment="1">
      <alignment horizontal="left" vertical="center" indent="2"/>
    </xf>
    <xf numFmtId="0" fontId="3" fillId="0" borderId="100" xfId="0" applyFont="1" applyBorder="1" applyAlignment="1">
      <alignment horizontal="left" vertical="center" indent="2"/>
    </xf>
    <xf numFmtId="0" fontId="3" fillId="0" borderId="80" xfId="0" applyFont="1" applyBorder="1" applyAlignment="1">
      <alignment horizontal="left" indent="2"/>
    </xf>
    <xf numFmtId="0" fontId="3" fillId="0" borderId="80" xfId="0" applyFont="1" applyBorder="1" applyAlignment="1">
      <alignment horizontal="left" vertical="center" wrapText="1" indent="1"/>
    </xf>
    <xf numFmtId="0" fontId="3" fillId="0" borderId="83" xfId="0" applyFont="1" applyBorder="1" applyAlignment="1">
      <alignment horizontal="left" wrapText="1" indent="1"/>
    </xf>
    <xf numFmtId="0" fontId="6" fillId="0" borderId="47" xfId="0" applyFont="1" applyBorder="1" applyAlignment="1">
      <alignment horizontal="center" vertical="center"/>
    </xf>
    <xf numFmtId="0" fontId="24" fillId="3" borderId="99" xfId="0" applyFont="1" applyFill="1" applyBorder="1" applyAlignment="1">
      <alignment horizontal="left" vertical="center" indent="1"/>
    </xf>
    <xf numFmtId="0" fontId="21" fillId="8" borderId="99" xfId="0" applyFont="1" applyFill="1" applyBorder="1" applyAlignment="1">
      <alignment horizontal="left" vertical="center" indent="1"/>
    </xf>
    <xf numFmtId="0" fontId="13" fillId="8" borderId="48" xfId="0" applyFont="1" applyFill="1" applyBorder="1" applyAlignment="1">
      <alignment horizontal="center" vertical="center"/>
    </xf>
    <xf numFmtId="15" fontId="0" fillId="2" borderId="0" xfId="0" applyNumberFormat="1" applyFill="1"/>
    <xf numFmtId="0" fontId="13" fillId="0" borderId="38" xfId="0" applyFont="1" applyBorder="1" applyAlignment="1">
      <alignment vertical="center"/>
    </xf>
    <xf numFmtId="0" fontId="13" fillId="0" borderId="102" xfId="0" applyFont="1" applyBorder="1" applyAlignment="1">
      <alignment horizontal="left" vertical="center" wrapText="1" indent="1"/>
    </xf>
    <xf numFmtId="0" fontId="3" fillId="0" borderId="91" xfId="0" applyFont="1" applyBorder="1" applyAlignment="1">
      <alignment horizontal="left" indent="1"/>
    </xf>
    <xf numFmtId="0" fontId="3" fillId="0" borderId="92" xfId="0" applyFont="1" applyBorder="1" applyAlignment="1">
      <alignment horizontal="left" indent="5"/>
    </xf>
    <xf numFmtId="0" fontId="3" fillId="0" borderId="89" xfId="0" applyFont="1" applyBorder="1" applyAlignment="1">
      <alignment horizontal="left" vertical="center" indent="4"/>
    </xf>
    <xf numFmtId="0" fontId="18" fillId="0" borderId="0" xfId="0" applyFont="1"/>
    <xf numFmtId="0" fontId="13" fillId="0" borderId="95" xfId="0" applyFont="1" applyBorder="1" applyAlignment="1">
      <alignment horizontal="left" vertical="center" indent="2"/>
    </xf>
    <xf numFmtId="15" fontId="7" fillId="2" borderId="0" xfId="0" applyNumberFormat="1" applyFont="1" applyFill="1"/>
    <xf numFmtId="0" fontId="11" fillId="0" borderId="34" xfId="0" applyFont="1" applyBorder="1" applyAlignment="1">
      <alignment horizontal="center" vertical="center"/>
    </xf>
    <xf numFmtId="0" fontId="25" fillId="0" borderId="34" xfId="0" applyFont="1" applyBorder="1" applyAlignment="1">
      <alignment horizontal="center" vertical="center"/>
    </xf>
    <xf numFmtId="0" fontId="25" fillId="0" borderId="3" xfId="0" applyFont="1" applyBorder="1" applyAlignment="1">
      <alignment horizontal="center" vertical="center"/>
    </xf>
    <xf numFmtId="0" fontId="25" fillId="0" borderId="34" xfId="0" applyFont="1" applyBorder="1" applyAlignment="1">
      <alignment horizontal="left" vertical="center" indent="2"/>
    </xf>
    <xf numFmtId="0" fontId="25" fillId="0" borderId="3" xfId="0" applyFont="1" applyBorder="1" applyAlignment="1">
      <alignment horizontal="left" vertical="center" indent="2"/>
    </xf>
    <xf numFmtId="0" fontId="25" fillId="0" borderId="36" xfId="0" applyFont="1" applyBorder="1" applyAlignment="1">
      <alignment horizontal="center" vertical="center"/>
    </xf>
    <xf numFmtId="0" fontId="25" fillId="0" borderId="18" xfId="0" applyFont="1" applyBorder="1" applyAlignment="1">
      <alignment horizontal="center" vertical="center"/>
    </xf>
    <xf numFmtId="0" fontId="25" fillId="0" borderId="0" xfId="0" applyFont="1" applyAlignment="1">
      <alignment horizontal="center" vertical="center"/>
    </xf>
    <xf numFmtId="0" fontId="26" fillId="3" borderId="0" xfId="0" applyFont="1" applyFill="1" applyAlignment="1">
      <alignment horizontal="center" vertical="center"/>
    </xf>
    <xf numFmtId="0" fontId="25" fillId="2" borderId="9" xfId="0" applyFont="1" applyFill="1" applyBorder="1" applyAlignment="1">
      <alignment horizontal="center" vertical="center"/>
    </xf>
    <xf numFmtId="0" fontId="27" fillId="3" borderId="11" xfId="0" applyFont="1" applyFill="1" applyBorder="1" applyAlignment="1">
      <alignment horizontal="center" vertical="center"/>
    </xf>
    <xf numFmtId="0" fontId="27" fillId="3" borderId="12" xfId="0" applyFont="1" applyFill="1" applyBorder="1" applyAlignment="1">
      <alignment horizontal="center" vertical="center"/>
    </xf>
    <xf numFmtId="0" fontId="27" fillId="7" borderId="12" xfId="0" applyFont="1" applyFill="1" applyBorder="1" applyAlignment="1">
      <alignment horizontal="center" vertical="center"/>
    </xf>
    <xf numFmtId="0" fontId="25" fillId="2" borderId="34" xfId="0" applyFont="1" applyFill="1" applyBorder="1" applyAlignment="1">
      <alignment horizontal="center" vertical="center"/>
    </xf>
    <xf numFmtId="0" fontId="25" fillId="2" borderId="3" xfId="0" applyFont="1" applyFill="1" applyBorder="1" applyAlignment="1">
      <alignment horizontal="center" vertical="center"/>
    </xf>
    <xf numFmtId="0" fontId="25" fillId="2" borderId="4" xfId="0" applyFont="1" applyFill="1" applyBorder="1" applyAlignment="1">
      <alignment horizontal="center" vertical="center"/>
    </xf>
    <xf numFmtId="0" fontId="25" fillId="2" borderId="37" xfId="0" applyFont="1" applyFill="1" applyBorder="1" applyAlignment="1">
      <alignment horizontal="center" vertical="center"/>
    </xf>
    <xf numFmtId="0" fontId="25" fillId="2" borderId="10" xfId="0" applyFont="1" applyFill="1" applyBorder="1" applyAlignment="1">
      <alignment horizontal="center" vertical="center"/>
    </xf>
    <xf numFmtId="0" fontId="25" fillId="2" borderId="15" xfId="0" applyFont="1" applyFill="1" applyBorder="1" applyAlignment="1">
      <alignment horizontal="center" vertical="center"/>
    </xf>
    <xf numFmtId="0" fontId="26" fillId="2" borderId="0" xfId="0" applyFont="1" applyFill="1" applyAlignment="1">
      <alignment horizontal="center" vertical="center"/>
    </xf>
    <xf numFmtId="0" fontId="27" fillId="6" borderId="0" xfId="0" applyFont="1" applyFill="1" applyAlignment="1">
      <alignment horizontal="center" vertical="center"/>
    </xf>
    <xf numFmtId="0" fontId="27" fillId="0" borderId="0" xfId="0" applyFont="1" applyAlignment="1">
      <alignment horizontal="center" vertical="center"/>
    </xf>
    <xf numFmtId="0" fontId="25" fillId="0" borderId="7" xfId="0" applyFont="1" applyBorder="1" applyAlignment="1">
      <alignment horizontal="center" vertical="center"/>
    </xf>
    <xf numFmtId="0" fontId="25" fillId="2" borderId="0" xfId="0" applyFont="1" applyFill="1" applyAlignment="1">
      <alignment horizontal="center" vertical="center"/>
    </xf>
    <xf numFmtId="0" fontId="25" fillId="2" borderId="35" xfId="0" applyFont="1" applyFill="1" applyBorder="1" applyAlignment="1">
      <alignment horizontal="center" vertical="center"/>
    </xf>
    <xf numFmtId="0" fontId="25" fillId="2" borderId="5" xfId="0" applyFont="1" applyFill="1" applyBorder="1" applyAlignment="1">
      <alignment horizontal="center" vertical="center"/>
    </xf>
    <xf numFmtId="0" fontId="25" fillId="2" borderId="6" xfId="0" applyFont="1" applyFill="1" applyBorder="1" applyAlignment="1">
      <alignment horizontal="center" vertical="center"/>
    </xf>
    <xf numFmtId="0" fontId="25" fillId="2" borderId="35" xfId="0" applyFont="1" applyFill="1" applyBorder="1" applyAlignment="1">
      <alignment horizontal="left" vertical="center" indent="2"/>
    </xf>
    <xf numFmtId="0" fontId="25" fillId="2" borderId="5" xfId="0" applyFont="1" applyFill="1" applyBorder="1" applyAlignment="1">
      <alignment horizontal="left" vertical="center" indent="2"/>
    </xf>
    <xf numFmtId="0" fontId="28" fillId="6" borderId="0" xfId="0" applyFont="1" applyFill="1" applyAlignment="1">
      <alignment horizontal="center" vertical="center"/>
    </xf>
    <xf numFmtId="0" fontId="25" fillId="2" borderId="59" xfId="0" applyFont="1" applyFill="1" applyBorder="1" applyAlignment="1">
      <alignment horizontal="center" vertical="center"/>
    </xf>
    <xf numFmtId="0" fontId="25" fillId="2" borderId="62" xfId="0" applyFont="1" applyFill="1" applyBorder="1" applyAlignment="1">
      <alignment horizontal="center" vertical="center"/>
    </xf>
    <xf numFmtId="0" fontId="25" fillId="2" borderId="22" xfId="0" applyFont="1" applyFill="1" applyBorder="1" applyAlignment="1">
      <alignment horizontal="center" vertical="center"/>
    </xf>
    <xf numFmtId="0" fontId="25" fillId="2" borderId="63" xfId="0" applyFont="1" applyFill="1" applyBorder="1" applyAlignment="1">
      <alignment horizontal="center" vertical="center"/>
    </xf>
    <xf numFmtId="0" fontId="25" fillId="2" borderId="61" xfId="0" applyFont="1" applyFill="1" applyBorder="1" applyAlignment="1">
      <alignment horizontal="center" vertical="center"/>
    </xf>
    <xf numFmtId="0" fontId="25" fillId="2" borderId="96" xfId="0" applyFont="1" applyFill="1" applyBorder="1" applyAlignment="1">
      <alignment horizontal="center" vertical="center"/>
    </xf>
    <xf numFmtId="0" fontId="27" fillId="3" borderId="27" xfId="0" applyFont="1" applyFill="1" applyBorder="1" applyAlignment="1">
      <alignment horizontal="center" vertical="center"/>
    </xf>
    <xf numFmtId="0" fontId="25" fillId="2" borderId="52" xfId="0" applyFont="1" applyFill="1" applyBorder="1" applyAlignment="1">
      <alignment horizontal="center" vertical="center"/>
    </xf>
    <xf numFmtId="0" fontId="25" fillId="2" borderId="18" xfId="0" applyFont="1" applyFill="1" applyBorder="1" applyAlignment="1">
      <alignment horizontal="center" vertical="center"/>
    </xf>
    <xf numFmtId="0" fontId="25" fillId="2" borderId="74" xfId="0" applyFont="1" applyFill="1" applyBorder="1" applyAlignment="1">
      <alignment horizontal="center" vertical="center"/>
    </xf>
    <xf numFmtId="0" fontId="25" fillId="2" borderId="51" xfId="0" applyFont="1" applyFill="1" applyBorder="1" applyAlignment="1">
      <alignment horizontal="center" vertical="center"/>
    </xf>
    <xf numFmtId="0" fontId="30" fillId="0" borderId="32" xfId="0" applyFont="1" applyBorder="1" applyAlignment="1">
      <alignment horizontal="left" vertical="center" wrapText="1" indent="1"/>
    </xf>
    <xf numFmtId="0" fontId="13" fillId="0" borderId="28" xfId="0" applyFont="1" applyBorder="1" applyAlignment="1">
      <alignment horizontal="left" vertical="center" indent="1"/>
    </xf>
    <xf numFmtId="0" fontId="15" fillId="0" borderId="122" xfId="0" applyFont="1" applyBorder="1" applyAlignment="1">
      <alignment horizontal="center" vertical="center"/>
    </xf>
    <xf numFmtId="0" fontId="25" fillId="0" borderId="122" xfId="0" applyFont="1" applyBorder="1" applyAlignment="1">
      <alignment horizontal="center" vertical="center"/>
    </xf>
    <xf numFmtId="0" fontId="25" fillId="0" borderId="123" xfId="0" applyFont="1" applyBorder="1" applyAlignment="1">
      <alignment horizontal="center" vertical="center"/>
    </xf>
    <xf numFmtId="0" fontId="15" fillId="0" borderId="107" xfId="0" applyFont="1" applyBorder="1" applyAlignment="1">
      <alignment horizontal="center" vertical="center"/>
    </xf>
    <xf numFmtId="0" fontId="25" fillId="0" borderId="107" xfId="0" applyFont="1" applyBorder="1" applyAlignment="1">
      <alignment horizontal="center" vertical="center"/>
    </xf>
    <xf numFmtId="0" fontId="25" fillId="0" borderId="107" xfId="0" applyFont="1" applyBorder="1" applyAlignment="1">
      <alignment horizontal="left" vertical="center" indent="2"/>
    </xf>
    <xf numFmtId="0" fontId="25" fillId="0" borderId="121" xfId="0" applyFont="1" applyBorder="1" applyAlignment="1">
      <alignment horizontal="center" vertical="center"/>
    </xf>
    <xf numFmtId="0" fontId="25" fillId="2" borderId="104" xfId="0" applyFont="1" applyFill="1" applyBorder="1" applyAlignment="1">
      <alignment horizontal="center" vertical="center"/>
    </xf>
    <xf numFmtId="0" fontId="25" fillId="2" borderId="107" xfId="0" applyFont="1" applyFill="1" applyBorder="1" applyAlignment="1">
      <alignment horizontal="center" vertical="center"/>
    </xf>
    <xf numFmtId="0" fontId="25" fillId="2" borderId="125" xfId="0" applyFont="1" applyFill="1" applyBorder="1" applyAlignment="1">
      <alignment horizontal="center" vertical="center"/>
    </xf>
    <xf numFmtId="0" fontId="25" fillId="2" borderId="110" xfId="0" applyFont="1" applyFill="1" applyBorder="1" applyAlignment="1">
      <alignment horizontal="center" vertical="center"/>
    </xf>
    <xf numFmtId="0" fontId="25" fillId="2" borderId="117" xfId="0" applyFont="1" applyFill="1" applyBorder="1" applyAlignment="1">
      <alignment horizontal="center" vertical="center"/>
    </xf>
    <xf numFmtId="0" fontId="25" fillId="2" borderId="126" xfId="0" applyFont="1" applyFill="1" applyBorder="1" applyAlignment="1">
      <alignment horizontal="center" vertical="center"/>
    </xf>
    <xf numFmtId="0" fontId="25" fillId="2" borderId="127" xfId="0" applyFont="1" applyFill="1" applyBorder="1" applyAlignment="1">
      <alignment horizontal="center" vertical="center"/>
    </xf>
    <xf numFmtId="0" fontId="25" fillId="2" borderId="128" xfId="0" applyFont="1" applyFill="1" applyBorder="1" applyAlignment="1">
      <alignment horizontal="center" vertical="center"/>
    </xf>
    <xf numFmtId="0" fontId="25" fillId="2" borderId="114" xfId="0" applyFont="1" applyFill="1" applyBorder="1" applyAlignment="1">
      <alignment horizontal="center" vertical="center"/>
    </xf>
    <xf numFmtId="0" fontId="25" fillId="2" borderId="68" xfId="0" applyFont="1" applyFill="1" applyBorder="1" applyAlignment="1">
      <alignment horizontal="center" vertical="center"/>
    </xf>
    <xf numFmtId="0" fontId="25" fillId="2" borderId="129" xfId="0" applyFont="1" applyFill="1" applyBorder="1" applyAlignment="1">
      <alignment horizontal="center" vertical="center"/>
    </xf>
    <xf numFmtId="0" fontId="25" fillId="2" borderId="116" xfId="0" applyFont="1" applyFill="1" applyBorder="1" applyAlignment="1">
      <alignment horizontal="center" vertical="center"/>
    </xf>
    <xf numFmtId="0" fontId="25" fillId="2" borderId="130" xfId="0" applyFont="1" applyFill="1" applyBorder="1" applyAlignment="1">
      <alignment horizontal="center" vertical="center"/>
    </xf>
    <xf numFmtId="0" fontId="25" fillId="2" borderId="108" xfId="0" applyFont="1" applyFill="1" applyBorder="1" applyAlignment="1">
      <alignment horizontal="center" vertical="center"/>
    </xf>
    <xf numFmtId="0" fontId="25" fillId="2" borderId="134" xfId="0" applyFont="1" applyFill="1" applyBorder="1" applyAlignment="1">
      <alignment horizontal="center" vertical="center"/>
    </xf>
    <xf numFmtId="0" fontId="25" fillId="2" borderId="133" xfId="0" applyFont="1" applyFill="1" applyBorder="1" applyAlignment="1">
      <alignment horizontal="center" vertical="center"/>
    </xf>
    <xf numFmtId="0" fontId="25" fillId="2" borderId="115" xfId="0" applyFont="1" applyFill="1" applyBorder="1" applyAlignment="1">
      <alignment horizontal="center" vertical="center"/>
    </xf>
    <xf numFmtId="0" fontId="25" fillId="2" borderId="26" xfId="0" applyFont="1" applyFill="1" applyBorder="1" applyAlignment="1">
      <alignment horizontal="center" vertical="center"/>
    </xf>
    <xf numFmtId="0" fontId="25" fillId="2" borderId="109" xfId="0" applyFont="1" applyFill="1" applyBorder="1" applyAlignment="1">
      <alignment horizontal="center" vertical="center"/>
    </xf>
    <xf numFmtId="0" fontId="25" fillId="2" borderId="108" xfId="0" applyFont="1" applyFill="1" applyBorder="1" applyAlignment="1">
      <alignment horizontal="left" vertical="center" indent="2"/>
    </xf>
    <xf numFmtId="0" fontId="25" fillId="2" borderId="135" xfId="0" applyFont="1" applyFill="1" applyBorder="1" applyAlignment="1">
      <alignment horizontal="center" vertical="center"/>
    </xf>
    <xf numFmtId="0" fontId="25" fillId="2" borderId="132" xfId="0" applyFont="1" applyFill="1" applyBorder="1" applyAlignment="1">
      <alignment horizontal="center" vertical="center"/>
    </xf>
    <xf numFmtId="0" fontId="25" fillId="2" borderId="143" xfId="0" applyFont="1" applyFill="1" applyBorder="1" applyAlignment="1">
      <alignment horizontal="center" vertical="center"/>
    </xf>
    <xf numFmtId="0" fontId="25" fillId="2" borderId="121" xfId="0" applyFont="1" applyFill="1" applyBorder="1" applyAlignment="1">
      <alignment horizontal="center" vertical="center"/>
    </xf>
    <xf numFmtId="0" fontId="25" fillId="2" borderId="144" xfId="0" applyFont="1" applyFill="1" applyBorder="1" applyAlignment="1">
      <alignment horizontal="center" vertical="center"/>
    </xf>
    <xf numFmtId="0" fontId="0" fillId="2" borderId="146" xfId="0" applyFill="1" applyBorder="1"/>
    <xf numFmtId="0" fontId="25" fillId="2" borderId="149" xfId="0" applyFont="1" applyFill="1" applyBorder="1" applyAlignment="1">
      <alignment horizontal="center" vertical="center"/>
    </xf>
    <xf numFmtId="0" fontId="31" fillId="0" borderId="0" xfId="0" applyFont="1"/>
    <xf numFmtId="0" fontId="26" fillId="0" borderId="34" xfId="0" applyFont="1" applyBorder="1" applyAlignment="1">
      <alignment horizontal="center" vertical="center"/>
    </xf>
    <xf numFmtId="0" fontId="26" fillId="0" borderId="3" xfId="0" applyFont="1" applyBorder="1" applyAlignment="1">
      <alignment horizontal="center" vertical="center"/>
    </xf>
    <xf numFmtId="0" fontId="26" fillId="0" borderId="107" xfId="0" applyFont="1" applyBorder="1" applyAlignment="1">
      <alignment horizontal="center" vertical="center"/>
    </xf>
    <xf numFmtId="0" fontId="26" fillId="0" borderId="108" xfId="0" applyFont="1" applyBorder="1" applyAlignment="1">
      <alignment horizontal="center" vertical="center"/>
    </xf>
    <xf numFmtId="0" fontId="26" fillId="0" borderId="4" xfId="0" applyFont="1" applyBorder="1" applyAlignment="1">
      <alignment horizontal="center" vertical="center"/>
    </xf>
    <xf numFmtId="0" fontId="26" fillId="0" borderId="68" xfId="0" applyFont="1" applyBorder="1" applyAlignment="1">
      <alignment horizontal="center" vertical="center"/>
    </xf>
    <xf numFmtId="0" fontId="26" fillId="0" borderId="129" xfId="0" applyFont="1" applyBorder="1" applyAlignment="1">
      <alignment horizontal="center" vertical="center"/>
    </xf>
    <xf numFmtId="0" fontId="26" fillId="0" borderId="115" xfId="0" applyFont="1" applyBorder="1" applyAlignment="1">
      <alignment horizontal="center" vertical="center"/>
    </xf>
    <xf numFmtId="0" fontId="26" fillId="0" borderId="26" xfId="0" applyFont="1" applyBorder="1" applyAlignment="1">
      <alignment horizontal="center" vertical="center"/>
    </xf>
    <xf numFmtId="0" fontId="26" fillId="0" borderId="109" xfId="0" applyFont="1" applyBorder="1" applyAlignment="1">
      <alignment horizontal="center" vertical="center"/>
    </xf>
    <xf numFmtId="0" fontId="26" fillId="0" borderId="35" xfId="0" applyFont="1" applyBorder="1" applyAlignment="1">
      <alignment horizontal="center" vertical="center"/>
    </xf>
    <xf numFmtId="0" fontId="26" fillId="0" borderId="127" xfId="0" applyFont="1" applyBorder="1" applyAlignment="1">
      <alignment horizontal="center" vertical="center"/>
    </xf>
    <xf numFmtId="0" fontId="26" fillId="0" borderId="125" xfId="0" applyFont="1" applyBorder="1" applyAlignment="1">
      <alignment horizontal="center" vertical="center"/>
    </xf>
    <xf numFmtId="0" fontId="26" fillId="0" borderId="116" xfId="0" applyFont="1" applyBorder="1" applyAlignment="1">
      <alignment horizontal="center" vertical="center"/>
    </xf>
    <xf numFmtId="0" fontId="26" fillId="0" borderId="52" xfId="0" applyFont="1" applyBorder="1" applyAlignment="1">
      <alignment horizontal="center" vertical="center"/>
    </xf>
    <xf numFmtId="0" fontId="26" fillId="0" borderId="18" xfId="0" applyFont="1" applyBorder="1" applyAlignment="1">
      <alignment horizontal="center" vertical="center"/>
    </xf>
    <xf numFmtId="0" fontId="26" fillId="0" borderId="74" xfId="0" applyFont="1" applyBorder="1" applyAlignment="1">
      <alignment horizontal="center" vertical="center"/>
    </xf>
    <xf numFmtId="0" fontId="26" fillId="0" borderId="131" xfId="0" applyFont="1" applyBorder="1" applyAlignment="1">
      <alignment horizontal="center" vertical="center"/>
    </xf>
    <xf numFmtId="0" fontId="26" fillId="0" borderId="0" xfId="0" applyFont="1" applyAlignment="1">
      <alignment horizontal="center" vertical="center"/>
    </xf>
    <xf numFmtId="0" fontId="26" fillId="0" borderId="54" xfId="0" applyFont="1" applyBorder="1" applyAlignment="1">
      <alignment horizontal="center" vertical="center"/>
    </xf>
    <xf numFmtId="0" fontId="26" fillId="0" borderId="34"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107" xfId="0" applyFont="1" applyBorder="1" applyAlignment="1">
      <alignment horizontal="center" vertical="center" wrapText="1"/>
    </xf>
    <xf numFmtId="0" fontId="26" fillId="0" borderId="104" xfId="0" applyFont="1" applyBorder="1" applyAlignment="1">
      <alignment horizontal="center" vertical="center"/>
    </xf>
    <xf numFmtId="0" fontId="26" fillId="0" borderId="132" xfId="0" applyFont="1" applyBorder="1" applyAlignment="1">
      <alignment horizontal="center" vertical="center"/>
    </xf>
    <xf numFmtId="0" fontId="26" fillId="0" borderId="55" xfId="0" applyFont="1" applyBorder="1" applyAlignment="1">
      <alignment horizontal="center" vertical="center"/>
    </xf>
    <xf numFmtId="0" fontId="26" fillId="0" borderId="56" xfId="0" applyFont="1" applyBorder="1" applyAlignment="1">
      <alignment horizontal="center" vertical="center"/>
    </xf>
    <xf numFmtId="0" fontId="26" fillId="0" borderId="57" xfId="0" applyFont="1" applyBorder="1" applyAlignment="1">
      <alignment horizontal="center" vertical="center"/>
    </xf>
    <xf numFmtId="0" fontId="31" fillId="0" borderId="66" xfId="0" applyFont="1" applyBorder="1"/>
    <xf numFmtId="0" fontId="31" fillId="0" borderId="26" xfId="0" applyFont="1" applyBorder="1"/>
    <xf numFmtId="0" fontId="26" fillId="0" borderId="66" xfId="0" applyFont="1" applyBorder="1" applyAlignment="1">
      <alignment horizontal="center" vertical="center"/>
    </xf>
    <xf numFmtId="0" fontId="26" fillId="0" borderId="67" xfId="0" applyFont="1" applyBorder="1" applyAlignment="1">
      <alignment horizontal="center" vertical="center"/>
    </xf>
    <xf numFmtId="0" fontId="26" fillId="0" borderId="5" xfId="0" applyFont="1" applyBorder="1" applyAlignment="1">
      <alignment horizontal="center" vertical="center"/>
    </xf>
    <xf numFmtId="0" fontId="26" fillId="0" borderId="113" xfId="0" applyFont="1" applyBorder="1" applyAlignment="1">
      <alignment horizontal="center" vertical="center"/>
    </xf>
    <xf numFmtId="0" fontId="26" fillId="0" borderId="111" xfId="0" applyFont="1" applyBorder="1" applyAlignment="1">
      <alignment horizontal="center" vertical="center"/>
    </xf>
    <xf numFmtId="0" fontId="26" fillId="0" borderId="112" xfId="0" applyFont="1" applyBorder="1" applyAlignment="1">
      <alignment horizontal="center" vertical="center"/>
    </xf>
    <xf numFmtId="0" fontId="26" fillId="0" borderId="6" xfId="0" applyFont="1" applyBorder="1" applyAlignment="1">
      <alignment horizontal="center" vertical="center"/>
    </xf>
    <xf numFmtId="0" fontId="26" fillId="0" borderId="118" xfId="0" applyFont="1" applyBorder="1" applyAlignment="1">
      <alignment horizontal="center" vertical="center"/>
    </xf>
    <xf numFmtId="0" fontId="26" fillId="0" borderId="128" xfId="0" applyFont="1" applyBorder="1" applyAlignment="1">
      <alignment horizontal="center" vertical="center"/>
    </xf>
    <xf numFmtId="0" fontId="26" fillId="0" borderId="110" xfId="0" applyFont="1" applyBorder="1" applyAlignment="1">
      <alignment horizontal="center" vertical="center"/>
    </xf>
    <xf numFmtId="0" fontId="25" fillId="0" borderId="39" xfId="0" applyFont="1" applyBorder="1" applyAlignment="1">
      <alignment horizontal="center" vertical="center"/>
    </xf>
    <xf numFmtId="0" fontId="25" fillId="0" borderId="40" xfId="0" applyFont="1" applyBorder="1" applyAlignment="1">
      <alignment horizontal="center" vertical="center"/>
    </xf>
    <xf numFmtId="0" fontId="25" fillId="0" borderId="136" xfId="0" applyFont="1" applyBorder="1" applyAlignment="1">
      <alignment horizontal="center" vertical="center"/>
    </xf>
    <xf numFmtId="0" fontId="25" fillId="0" borderId="75" xfId="0" applyFont="1" applyBorder="1" applyAlignment="1">
      <alignment horizontal="center" vertical="center"/>
    </xf>
    <xf numFmtId="0" fontId="25" fillId="0" borderId="42" xfId="0" applyFont="1" applyBorder="1" applyAlignment="1">
      <alignment horizontal="center" vertical="center"/>
    </xf>
    <xf numFmtId="0" fontId="25" fillId="0" borderId="43" xfId="0" applyFont="1" applyBorder="1" applyAlignment="1">
      <alignment horizontal="center" vertical="center"/>
    </xf>
    <xf numFmtId="0" fontId="25" fillId="0" borderId="76" xfId="0" applyFont="1" applyBorder="1" applyAlignment="1">
      <alignment horizontal="center" vertical="center"/>
    </xf>
    <xf numFmtId="0" fontId="25" fillId="0" borderId="44" xfId="0" applyFont="1" applyBorder="1" applyAlignment="1">
      <alignment horizontal="center" vertical="center"/>
    </xf>
    <xf numFmtId="0" fontId="25" fillId="0" borderId="26" xfId="0" applyFont="1" applyBorder="1" applyAlignment="1">
      <alignment horizontal="center" vertical="center"/>
    </xf>
    <xf numFmtId="0" fontId="25" fillId="0" borderId="142" xfId="0" applyFont="1" applyBorder="1" applyAlignment="1">
      <alignment horizontal="center" vertical="center"/>
    </xf>
    <xf numFmtId="0" fontId="25" fillId="0" borderId="141" xfId="0" applyFont="1" applyBorder="1" applyAlignment="1">
      <alignment horizontal="center" vertical="center"/>
    </xf>
    <xf numFmtId="0" fontId="26" fillId="0" borderId="114" xfId="0" applyFont="1" applyBorder="1" applyAlignment="1">
      <alignment horizontal="center" vertical="center"/>
    </xf>
    <xf numFmtId="0" fontId="26" fillId="0" borderId="126" xfId="0" applyFont="1" applyBorder="1" applyAlignment="1">
      <alignment horizontal="center" vertical="center"/>
    </xf>
    <xf numFmtId="0" fontId="11" fillId="0" borderId="19" xfId="0" applyFont="1" applyBorder="1" applyAlignment="1">
      <alignment horizontal="left" vertical="center"/>
    </xf>
    <xf numFmtId="0" fontId="11" fillId="3" borderId="0" xfId="0" applyFont="1" applyFill="1" applyAlignment="1">
      <alignment horizontal="left" vertical="center"/>
    </xf>
    <xf numFmtId="0" fontId="18" fillId="2" borderId="9" xfId="0" applyFont="1" applyFill="1" applyBorder="1" applyAlignment="1">
      <alignment vertical="center"/>
    </xf>
    <xf numFmtId="0" fontId="11" fillId="4" borderId="8" xfId="0" applyFont="1" applyFill="1" applyBorder="1" applyAlignment="1">
      <alignment horizontal="left" vertical="center" indent="1"/>
    </xf>
    <xf numFmtId="0" fontId="18" fillId="2" borderId="14" xfId="0" applyFont="1" applyFill="1" applyBorder="1" applyAlignment="1">
      <alignment vertical="center"/>
    </xf>
    <xf numFmtId="0" fontId="18" fillId="0" borderId="14" xfId="0" applyFont="1" applyBorder="1" applyAlignment="1">
      <alignment vertical="center" wrapText="1"/>
    </xf>
    <xf numFmtId="0" fontId="18" fillId="2" borderId="14" xfId="0" applyFont="1" applyFill="1" applyBorder="1" applyAlignment="1">
      <alignment vertical="center" wrapText="1"/>
    </xf>
    <xf numFmtId="0" fontId="18" fillId="0" borderId="14" xfId="0" applyFont="1" applyBorder="1" applyAlignment="1">
      <alignment vertical="center"/>
    </xf>
    <xf numFmtId="0" fontId="18" fillId="2" borderId="124" xfId="0" applyFont="1" applyFill="1" applyBorder="1" applyAlignment="1">
      <alignment vertical="center"/>
    </xf>
    <xf numFmtId="0" fontId="18" fillId="0" borderId="124" xfId="0" applyFont="1" applyBorder="1" applyAlignment="1">
      <alignment vertical="center"/>
    </xf>
    <xf numFmtId="0" fontId="18" fillId="2" borderId="16" xfId="0" applyFont="1" applyFill="1" applyBorder="1" applyAlignment="1">
      <alignment vertical="center"/>
    </xf>
    <xf numFmtId="0" fontId="18" fillId="2" borderId="0" xfId="0" applyFont="1" applyFill="1" applyAlignment="1">
      <alignment vertical="center"/>
    </xf>
    <xf numFmtId="0" fontId="11" fillId="4" borderId="20" xfId="0" applyFont="1" applyFill="1" applyBorder="1" applyAlignment="1">
      <alignment horizontal="left" vertical="center" indent="1"/>
    </xf>
    <xf numFmtId="0" fontId="18" fillId="0" borderId="21" xfId="0" applyFont="1" applyBorder="1" applyAlignment="1">
      <alignment vertical="center"/>
    </xf>
    <xf numFmtId="0" fontId="18" fillId="0" borderId="21" xfId="0" applyFont="1" applyBorder="1" applyAlignment="1">
      <alignment vertical="center" wrapText="1"/>
    </xf>
    <xf numFmtId="0" fontId="18" fillId="0" borderId="53" xfId="0" applyFont="1" applyBorder="1" applyAlignment="1">
      <alignment vertical="center"/>
    </xf>
    <xf numFmtId="0" fontId="18" fillId="0" borderId="0" xfId="0" applyFont="1" applyAlignment="1">
      <alignment vertical="center"/>
    </xf>
    <xf numFmtId="0" fontId="11" fillId="6" borderId="0" xfId="0" applyFont="1" applyFill="1" applyAlignment="1">
      <alignment horizontal="left" vertical="center" indent="1"/>
    </xf>
    <xf numFmtId="0" fontId="18" fillId="0" borderId="54" xfId="0" applyFont="1" applyBorder="1" applyAlignment="1">
      <alignment vertical="center"/>
    </xf>
    <xf numFmtId="0" fontId="18" fillId="0" borderId="24" xfId="0" applyFont="1" applyBorder="1" applyAlignment="1">
      <alignment vertical="center" wrapText="1"/>
    </xf>
    <xf numFmtId="0" fontId="32" fillId="0" borderId="103" xfId="0" applyFont="1" applyBorder="1" applyAlignment="1">
      <alignment wrapText="1"/>
    </xf>
    <xf numFmtId="0" fontId="18" fillId="0" borderId="105" xfId="0" applyFont="1" applyBorder="1" applyAlignment="1">
      <alignment vertical="center" wrapText="1"/>
    </xf>
    <xf numFmtId="0" fontId="18" fillId="0" borderId="58" xfId="0" applyFont="1" applyBorder="1" applyAlignment="1">
      <alignment vertical="center"/>
    </xf>
    <xf numFmtId="0" fontId="11" fillId="0" borderId="0" xfId="0" applyFont="1" applyAlignment="1">
      <alignment horizontal="left" vertical="center" indent="1"/>
    </xf>
    <xf numFmtId="0" fontId="18" fillId="0" borderId="69" xfId="0" applyFont="1" applyBorder="1"/>
    <xf numFmtId="0" fontId="18" fillId="0" borderId="69" xfId="0" applyFont="1" applyBorder="1" applyAlignment="1">
      <alignment vertical="center"/>
    </xf>
    <xf numFmtId="0" fontId="18" fillId="0" borderId="106" xfId="0" applyFont="1" applyBorder="1" applyAlignment="1">
      <alignment vertical="center"/>
    </xf>
    <xf numFmtId="0" fontId="32" fillId="0" borderId="119" xfId="0" applyFont="1" applyBorder="1"/>
    <xf numFmtId="0" fontId="18" fillId="0" borderId="120" xfId="0" applyFont="1" applyBorder="1" applyAlignment="1">
      <alignment vertical="center"/>
    </xf>
    <xf numFmtId="0" fontId="18" fillId="0" borderId="24" xfId="0" applyFont="1" applyBorder="1" applyAlignment="1">
      <alignment vertical="center"/>
    </xf>
    <xf numFmtId="0" fontId="18" fillId="0" borderId="7" xfId="0" applyFont="1" applyBorder="1" applyAlignment="1">
      <alignment vertical="center"/>
    </xf>
    <xf numFmtId="0" fontId="18" fillId="0" borderId="147" xfId="0" applyFont="1" applyBorder="1" applyAlignment="1">
      <alignment vertical="center"/>
    </xf>
    <xf numFmtId="0" fontId="13" fillId="2" borderId="120" xfId="0" applyFont="1" applyFill="1" applyBorder="1"/>
    <xf numFmtId="0" fontId="18" fillId="2" borderId="23" xfId="0" applyFont="1" applyFill="1" applyBorder="1" applyAlignment="1">
      <alignment vertical="center"/>
    </xf>
    <xf numFmtId="0" fontId="18" fillId="0" borderId="23" xfId="0" applyFont="1" applyBorder="1" applyAlignment="1">
      <alignment vertical="center"/>
    </xf>
    <xf numFmtId="0" fontId="18" fillId="2" borderId="23" xfId="0" applyFont="1" applyFill="1" applyBorder="1" applyAlignment="1">
      <alignment horizontal="left" vertical="center" indent="2"/>
    </xf>
    <xf numFmtId="0" fontId="18" fillId="0" borderId="23" xfId="0" applyFont="1" applyBorder="1" applyAlignment="1">
      <alignment horizontal="left" vertical="center" indent="2"/>
    </xf>
    <xf numFmtId="0" fontId="13" fillId="6" borderId="0" xfId="0" applyFont="1" applyFill="1" applyAlignment="1">
      <alignment vertical="center"/>
    </xf>
    <xf numFmtId="0" fontId="18" fillId="2" borderId="60" xfId="0" applyFont="1" applyFill="1" applyBorder="1" applyAlignment="1">
      <alignment vertical="center"/>
    </xf>
    <xf numFmtId="0" fontId="18" fillId="0" borderId="60" xfId="0" applyFont="1" applyBorder="1" applyAlignment="1">
      <alignment vertical="center" wrapText="1"/>
    </xf>
    <xf numFmtId="0" fontId="18" fillId="2" borderId="21" xfId="0" applyFont="1" applyFill="1" applyBorder="1" applyAlignment="1">
      <alignment vertical="center"/>
    </xf>
    <xf numFmtId="0" fontId="18" fillId="0" borderId="21" xfId="0" quotePrefix="1" applyFont="1" applyBorder="1" applyAlignment="1">
      <alignment vertical="center" wrapText="1"/>
    </xf>
    <xf numFmtId="0" fontId="18" fillId="2" borderId="64" xfId="0" applyFont="1" applyFill="1" applyBorder="1" applyAlignment="1">
      <alignment vertical="center"/>
    </xf>
    <xf numFmtId="0" fontId="18" fillId="0" borderId="60" xfId="0" applyFont="1" applyBorder="1" applyAlignment="1">
      <alignment vertical="center"/>
    </xf>
    <xf numFmtId="0" fontId="18" fillId="2" borderId="24" xfId="0" applyFont="1" applyFill="1" applyBorder="1" applyAlignment="1">
      <alignment vertical="center"/>
    </xf>
    <xf numFmtId="0" fontId="11" fillId="0" borderId="41" xfId="0" applyFont="1" applyBorder="1" applyAlignment="1">
      <alignment horizontal="left" vertical="center"/>
    </xf>
    <xf numFmtId="0" fontId="13" fillId="0" borderId="41" xfId="0" applyFont="1" applyBorder="1" applyAlignment="1">
      <alignment horizontal="left" vertical="center" wrapText="1"/>
    </xf>
    <xf numFmtId="0" fontId="11" fillId="0" borderId="137" xfId="0" applyFont="1" applyBorder="1" applyAlignment="1">
      <alignment horizontal="left" vertical="center"/>
    </xf>
    <xf numFmtId="0" fontId="11" fillId="0" borderId="45" xfId="0" applyFont="1" applyBorder="1" applyAlignment="1">
      <alignment horizontal="left" vertical="center"/>
    </xf>
    <xf numFmtId="0" fontId="18" fillId="2" borderId="138" xfId="0" applyFont="1" applyFill="1" applyBorder="1" applyAlignment="1">
      <alignment vertical="center"/>
    </xf>
    <xf numFmtId="0" fontId="18" fillId="0" borderId="138" xfId="0" applyFont="1" applyBorder="1" applyAlignment="1">
      <alignment vertical="center"/>
    </xf>
    <xf numFmtId="0" fontId="18" fillId="0" borderId="23" xfId="0" applyFont="1" applyBorder="1" applyAlignment="1">
      <alignment vertical="center" wrapText="1"/>
    </xf>
    <xf numFmtId="0" fontId="33" fillId="0" borderId="23" xfId="0" applyFont="1" applyBorder="1" applyAlignment="1">
      <alignment vertical="center"/>
    </xf>
    <xf numFmtId="0" fontId="18" fillId="2" borderId="139" xfId="0" applyFont="1" applyFill="1" applyBorder="1" applyAlignment="1">
      <alignment vertical="center"/>
    </xf>
    <xf numFmtId="0" fontId="11" fillId="0" borderId="140" xfId="0" applyFont="1" applyBorder="1" applyAlignment="1">
      <alignment horizontal="left" vertical="center"/>
    </xf>
    <xf numFmtId="0" fontId="11" fillId="4" borderId="13" xfId="0" applyFont="1" applyFill="1" applyBorder="1" applyAlignment="1">
      <alignment horizontal="left" vertical="center" indent="1"/>
    </xf>
    <xf numFmtId="0" fontId="18" fillId="0" borderId="97" xfId="0" applyFont="1" applyBorder="1" applyAlignment="1">
      <alignment vertical="center"/>
    </xf>
    <xf numFmtId="0" fontId="18" fillId="2" borderId="97" xfId="0" applyFont="1" applyFill="1" applyBorder="1" applyAlignment="1">
      <alignment vertical="center"/>
    </xf>
    <xf numFmtId="0" fontId="18" fillId="2" borderId="101" xfId="0" applyFont="1" applyFill="1" applyBorder="1" applyAlignment="1">
      <alignment vertical="center"/>
    </xf>
    <xf numFmtId="0" fontId="18" fillId="0" borderId="97" xfId="0" applyFont="1" applyBorder="1" applyAlignment="1">
      <alignment vertical="center" wrapText="1"/>
    </xf>
    <xf numFmtId="0" fontId="18" fillId="0" borderId="147" xfId="0" applyFont="1" applyBorder="1" applyAlignment="1">
      <alignment vertical="center" wrapText="1"/>
    </xf>
    <xf numFmtId="0" fontId="32" fillId="0" borderId="120" xfId="0" applyFont="1" applyBorder="1"/>
    <xf numFmtId="0" fontId="18" fillId="2" borderId="147" xfId="0" applyFont="1" applyFill="1" applyBorder="1" applyAlignment="1">
      <alignment vertical="center"/>
    </xf>
    <xf numFmtId="0" fontId="18" fillId="0" borderId="139" xfId="0" applyFont="1" applyBorder="1" applyAlignment="1">
      <alignment vertical="center" wrapText="1"/>
    </xf>
    <xf numFmtId="0" fontId="18" fillId="0" borderId="139" xfId="0" applyFont="1" applyBorder="1" applyAlignment="1">
      <alignment vertical="center"/>
    </xf>
    <xf numFmtId="0" fontId="18" fillId="2" borderId="145" xfId="0" applyFont="1" applyFill="1" applyBorder="1" applyAlignment="1">
      <alignment vertical="center"/>
    </xf>
    <xf numFmtId="0" fontId="18" fillId="2" borderId="98" xfId="0" applyFont="1" applyFill="1" applyBorder="1" applyAlignment="1">
      <alignment vertical="center"/>
    </xf>
    <xf numFmtId="0" fontId="13" fillId="2" borderId="78" xfId="0" applyFont="1" applyFill="1" applyBorder="1"/>
    <xf numFmtId="0" fontId="18" fillId="2" borderId="148" xfId="0" applyFont="1" applyFill="1" applyBorder="1" applyAlignment="1">
      <alignment vertical="center"/>
    </xf>
    <xf numFmtId="0" fontId="18" fillId="0" borderId="82" xfId="0" applyFont="1" applyBorder="1" applyAlignment="1">
      <alignment vertical="center" wrapText="1"/>
    </xf>
    <xf numFmtId="0" fontId="13" fillId="2" borderId="83" xfId="0" applyFont="1" applyFill="1" applyBorder="1"/>
    <xf numFmtId="0" fontId="18" fillId="2" borderId="84" xfId="0" applyFont="1" applyFill="1" applyBorder="1" applyAlignment="1">
      <alignment vertical="center"/>
    </xf>
    <xf numFmtId="0" fontId="17" fillId="0" borderId="17" xfId="0" applyFont="1" applyBorder="1" applyAlignment="1">
      <alignment horizontal="left" vertical="center"/>
    </xf>
    <xf numFmtId="0" fontId="18" fillId="0" borderId="17" xfId="0" applyFont="1" applyBorder="1" applyAlignment="1">
      <alignment horizontal="left" vertical="center" wrapText="1"/>
    </xf>
    <xf numFmtId="0" fontId="17" fillId="0" borderId="17" xfId="0" applyFont="1" applyBorder="1" applyAlignment="1">
      <alignment horizontal="left" vertical="center" indent="2"/>
    </xf>
    <xf numFmtId="0" fontId="17" fillId="0" borderId="17" xfId="0" applyFont="1" applyBorder="1" applyAlignment="1">
      <alignment horizontal="left" vertical="center" wrapText="1"/>
    </xf>
    <xf numFmtId="0" fontId="18" fillId="0" borderId="17" xfId="0" applyFont="1" applyBorder="1" applyAlignment="1">
      <alignment horizontal="left" vertical="center"/>
    </xf>
    <xf numFmtId="0" fontId="18" fillId="0" borderId="17" xfId="0" applyFont="1" applyBorder="1" applyAlignment="1">
      <alignment horizontal="left" vertical="center" wrapText="1" indent="2"/>
    </xf>
    <xf numFmtId="0" fontId="25" fillId="0" borderId="4" xfId="0" applyFont="1" applyBorder="1" applyAlignment="1">
      <alignment horizontal="center" vertical="center"/>
    </xf>
    <xf numFmtId="0" fontId="20" fillId="2" borderId="0" xfId="0" quotePrefix="1" applyFont="1" applyFill="1" applyAlignment="1">
      <alignment horizontal="left" vertical="center" wrapText="1"/>
    </xf>
    <xf numFmtId="0" fontId="0" fillId="0" borderId="0" xfId="0" applyAlignment="1">
      <alignment horizontal="left" vertical="center" wrapText="1"/>
    </xf>
    <xf numFmtId="0" fontId="13" fillId="0" borderId="0" xfId="0" quotePrefix="1" applyFont="1"/>
    <xf numFmtId="0" fontId="13" fillId="0" borderId="0" xfId="0" applyFont="1"/>
    <xf numFmtId="0" fontId="13" fillId="2" borderId="0" xfId="0" quotePrefix="1" applyFont="1" applyFill="1"/>
    <xf numFmtId="0" fontId="11" fillId="2" borderId="0" xfId="0" applyFont="1" applyFill="1"/>
    <xf numFmtId="0" fontId="17" fillId="0" borderId="0" xfId="0" applyFont="1"/>
    <xf numFmtId="0" fontId="13" fillId="2" borderId="0" xfId="0" applyFont="1" applyFill="1" applyAlignment="1">
      <alignment vertical="top"/>
    </xf>
    <xf numFmtId="0" fontId="18" fillId="0" borderId="0" xfId="0" applyFont="1"/>
  </cellXfs>
  <cellStyles count="1">
    <cellStyle name="Normal" xfId="0" builtinId="0"/>
  </cellStyles>
  <dxfs count="0"/>
  <tableStyles count="0" defaultTableStyle="TableStyleMedium2" defaultPivotStyle="PivotStyleLight16"/>
  <colors>
    <mruColors>
      <color rgb="FF5B9BD6"/>
      <color rgb="FFFFFF99"/>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69"/>
  <sheetViews>
    <sheetView showGridLines="0" tabSelected="1" showWhiteSpace="0" topLeftCell="C1" zoomScale="74" zoomScaleNormal="74" zoomScalePageLayoutView="69" workbookViewId="0">
      <selection activeCell="L892" sqref="L892"/>
    </sheetView>
  </sheetViews>
  <sheetFormatPr defaultColWidth="8.7265625" defaultRowHeight="14.5" x14ac:dyDescent="0.35"/>
  <cols>
    <col min="1" max="1" width="10.7265625" style="2" customWidth="1"/>
    <col min="2" max="2" width="8.453125" style="9" customWidth="1"/>
    <col min="3" max="3" width="118.81640625" customWidth="1"/>
    <col min="4" max="4" width="2.26953125" style="2" customWidth="1"/>
    <col min="5" max="5" width="7" customWidth="1"/>
    <col min="6" max="10" width="6.7265625" customWidth="1"/>
    <col min="11" max="11" width="62.7265625" customWidth="1"/>
    <col min="12" max="12" width="25.1796875" style="2" customWidth="1"/>
    <col min="13" max="13" width="33.453125" customWidth="1"/>
    <col min="14" max="14" width="49.453125" customWidth="1"/>
    <col min="15" max="15" width="40.1796875" customWidth="1"/>
  </cols>
  <sheetData>
    <row r="1" spans="1:14" x14ac:dyDescent="0.35">
      <c r="B1" s="6"/>
      <c r="C1" s="2"/>
      <c r="E1" s="2"/>
      <c r="F1" s="2"/>
      <c r="G1" s="2"/>
      <c r="H1" s="2"/>
      <c r="I1" s="2"/>
      <c r="J1" s="2"/>
      <c r="K1" s="2"/>
      <c r="M1" s="2"/>
      <c r="N1" s="2"/>
    </row>
    <row r="2" spans="1:14" ht="20" x14ac:dyDescent="0.35">
      <c r="B2" s="36" t="s">
        <v>0</v>
      </c>
      <c r="C2" s="3"/>
      <c r="D2" s="187" t="s">
        <v>1</v>
      </c>
      <c r="E2" s="2"/>
      <c r="F2" s="2"/>
      <c r="G2" s="2"/>
      <c r="H2" s="2"/>
      <c r="I2" s="2"/>
      <c r="J2" s="2"/>
      <c r="K2" s="179" t="s">
        <v>2</v>
      </c>
      <c r="M2" s="2"/>
      <c r="N2" s="2"/>
    </row>
    <row r="3" spans="1:14" ht="17.5" x14ac:dyDescent="0.35">
      <c r="B3" s="13" t="s">
        <v>3</v>
      </c>
      <c r="C3" s="3"/>
      <c r="D3" s="1"/>
      <c r="E3" s="2"/>
      <c r="F3" s="2"/>
      <c r="G3" s="2"/>
      <c r="H3" s="2"/>
      <c r="I3" s="2"/>
      <c r="J3" s="2"/>
      <c r="K3" s="2"/>
      <c r="M3" s="2"/>
      <c r="N3" s="2"/>
    </row>
    <row r="4" spans="1:14" x14ac:dyDescent="0.35">
      <c r="B4" s="7"/>
      <c r="C4" s="4" t="s">
        <v>4</v>
      </c>
      <c r="D4" s="1"/>
      <c r="E4" s="2"/>
      <c r="F4" s="2"/>
      <c r="G4" s="2"/>
      <c r="H4" s="2"/>
      <c r="I4" s="2"/>
      <c r="J4" s="2"/>
      <c r="K4" s="2"/>
      <c r="M4" s="2"/>
      <c r="N4" s="2"/>
    </row>
    <row r="5" spans="1:14" ht="18" x14ac:dyDescent="0.35">
      <c r="B5" s="29" t="s">
        <v>5</v>
      </c>
      <c r="C5" s="4"/>
      <c r="D5" s="1"/>
      <c r="E5" s="2"/>
      <c r="F5" s="2"/>
      <c r="G5" s="2"/>
      <c r="H5" s="2"/>
      <c r="I5" s="2"/>
      <c r="J5" s="2"/>
      <c r="K5" s="2"/>
      <c r="M5" s="2"/>
      <c r="N5" s="2"/>
    </row>
    <row r="6" spans="1:14" ht="18" customHeight="1" x14ac:dyDescent="0.35">
      <c r="B6" s="8"/>
      <c r="C6" s="4"/>
      <c r="D6" s="1"/>
      <c r="E6" s="2"/>
      <c r="F6" s="2"/>
      <c r="G6" s="2"/>
      <c r="H6" s="2"/>
      <c r="I6" s="2"/>
      <c r="J6" s="2"/>
      <c r="K6" s="2"/>
      <c r="M6" s="2"/>
      <c r="N6" s="2"/>
    </row>
    <row r="7" spans="1:14" ht="24" customHeight="1" x14ac:dyDescent="0.35">
      <c r="B7" s="15" t="s">
        <v>6</v>
      </c>
      <c r="C7" s="12" t="s">
        <v>7</v>
      </c>
      <c r="D7" s="1"/>
      <c r="E7" s="18" t="s">
        <v>8</v>
      </c>
      <c r="F7" s="16"/>
      <c r="G7" s="16"/>
      <c r="H7" s="16"/>
      <c r="I7" s="16"/>
      <c r="J7" s="16"/>
      <c r="K7" s="16"/>
      <c r="M7" s="38"/>
      <c r="N7" s="2"/>
    </row>
    <row r="8" spans="1:14" ht="15.5" x14ac:dyDescent="0.35">
      <c r="B8" s="7"/>
      <c r="C8" s="5"/>
      <c r="D8" s="1"/>
      <c r="E8" s="400" t="s">
        <v>9</v>
      </c>
      <c r="F8" s="401"/>
      <c r="G8" s="401"/>
      <c r="H8" s="401"/>
      <c r="I8" s="401"/>
      <c r="J8" s="401"/>
      <c r="K8" s="401"/>
      <c r="L8" s="37">
        <v>1</v>
      </c>
      <c r="M8" s="39" t="s">
        <v>10</v>
      </c>
      <c r="N8" s="37" t="s">
        <v>11</v>
      </c>
    </row>
    <row r="9" spans="1:14" ht="15.5" x14ac:dyDescent="0.35">
      <c r="B9" s="7"/>
      <c r="C9" s="398" t="s">
        <v>12</v>
      </c>
      <c r="D9" s="1"/>
      <c r="E9" s="402" t="s">
        <v>13</v>
      </c>
      <c r="F9" s="401"/>
      <c r="G9" s="401"/>
      <c r="H9" s="401"/>
      <c r="I9" s="401"/>
      <c r="J9" s="401"/>
      <c r="K9" s="401"/>
      <c r="L9" s="37">
        <v>2</v>
      </c>
      <c r="M9" s="39" t="s">
        <v>14</v>
      </c>
      <c r="N9" s="37" t="s">
        <v>15</v>
      </c>
    </row>
    <row r="10" spans="1:14" ht="8.25" customHeight="1" x14ac:dyDescent="0.35">
      <c r="B10" s="7"/>
      <c r="C10" s="399"/>
      <c r="D10" s="1"/>
      <c r="E10" s="16"/>
      <c r="F10" s="16"/>
      <c r="G10" s="16"/>
      <c r="H10" s="16"/>
      <c r="I10" s="16"/>
      <c r="J10" s="16"/>
      <c r="K10" s="16"/>
      <c r="L10" s="37">
        <v>3</v>
      </c>
      <c r="M10" s="39" t="s">
        <v>16</v>
      </c>
      <c r="N10" s="37" t="s">
        <v>17</v>
      </c>
    </row>
    <row r="11" spans="1:14" ht="15.5" x14ac:dyDescent="0.35">
      <c r="A11"/>
      <c r="B11" s="7"/>
      <c r="C11" s="399"/>
      <c r="D11" s="1"/>
      <c r="E11" s="403" t="s">
        <v>18</v>
      </c>
      <c r="F11" s="403"/>
      <c r="G11" s="403"/>
      <c r="H11" s="403"/>
      <c r="I11" s="403"/>
      <c r="J11" s="404"/>
      <c r="K11" s="404"/>
      <c r="L11" s="37">
        <v>4</v>
      </c>
      <c r="M11" s="39" t="s">
        <v>19</v>
      </c>
      <c r="N11" s="37" t="s">
        <v>14</v>
      </c>
    </row>
    <row r="12" spans="1:14" ht="16.5" customHeight="1" x14ac:dyDescent="0.35">
      <c r="A12"/>
      <c r="B12" s="7"/>
      <c r="C12" s="399"/>
      <c r="D12" s="1"/>
      <c r="E12" s="19" t="s">
        <v>20</v>
      </c>
      <c r="F12" s="405" t="s">
        <v>21</v>
      </c>
      <c r="G12" s="406"/>
      <c r="H12" s="406"/>
      <c r="I12" s="406"/>
      <c r="J12" s="406"/>
      <c r="K12" s="406"/>
      <c r="L12" s="37">
        <v>5</v>
      </c>
      <c r="M12" s="39" t="s">
        <v>22</v>
      </c>
      <c r="N12" s="37" t="s">
        <v>23</v>
      </c>
    </row>
    <row r="13" spans="1:14" ht="15.5" x14ac:dyDescent="0.35">
      <c r="A13"/>
      <c r="B13" s="7"/>
      <c r="C13" s="399"/>
      <c r="D13" s="1"/>
      <c r="E13" s="19" t="s">
        <v>24</v>
      </c>
      <c r="F13" s="405" t="s">
        <v>25</v>
      </c>
      <c r="G13" s="406"/>
      <c r="H13" s="406"/>
      <c r="I13" s="406"/>
      <c r="J13" s="406"/>
      <c r="K13" s="406"/>
      <c r="L13" s="37">
        <v>6</v>
      </c>
      <c r="M13" s="39" t="s">
        <v>26</v>
      </c>
      <c r="N13" s="37" t="s">
        <v>19</v>
      </c>
    </row>
    <row r="14" spans="1:14" ht="15.5" x14ac:dyDescent="0.35">
      <c r="A14"/>
      <c r="B14" s="7"/>
      <c r="C14" s="399"/>
      <c r="D14" s="1"/>
      <c r="E14" s="19" t="s">
        <v>27</v>
      </c>
      <c r="F14" s="405" t="s">
        <v>28</v>
      </c>
      <c r="G14" s="406"/>
      <c r="H14" s="406"/>
      <c r="I14" s="406"/>
      <c r="J14" s="406"/>
      <c r="K14" s="406"/>
      <c r="L14" s="37">
        <v>7</v>
      </c>
      <c r="M14" s="39" t="s">
        <v>11</v>
      </c>
      <c r="N14" s="37"/>
    </row>
    <row r="15" spans="1:14" ht="15.5" x14ac:dyDescent="0.35">
      <c r="A15"/>
      <c r="B15" s="7"/>
      <c r="C15" s="399"/>
      <c r="D15" s="1"/>
      <c r="E15" s="19" t="s">
        <v>29</v>
      </c>
      <c r="F15" s="405" t="s">
        <v>30</v>
      </c>
      <c r="G15" s="406"/>
      <c r="H15" s="406"/>
      <c r="I15" s="406"/>
      <c r="J15" s="406"/>
      <c r="K15" s="406"/>
      <c r="L15" s="37">
        <v>8</v>
      </c>
      <c r="M15" s="39" t="s">
        <v>31</v>
      </c>
      <c r="N15" s="37"/>
    </row>
    <row r="16" spans="1:14" ht="15.5" x14ac:dyDescent="0.35">
      <c r="A16"/>
      <c r="B16" s="7"/>
      <c r="C16" s="399"/>
      <c r="D16" s="1"/>
      <c r="E16" s="19" t="s">
        <v>32</v>
      </c>
      <c r="F16" s="405" t="s">
        <v>33</v>
      </c>
      <c r="G16" s="405"/>
      <c r="H16" s="405"/>
      <c r="I16" s="405"/>
      <c r="J16" s="405"/>
      <c r="K16" s="405"/>
      <c r="L16" s="37">
        <v>9</v>
      </c>
      <c r="M16" s="39" t="s">
        <v>34</v>
      </c>
      <c r="N16" s="37"/>
    </row>
    <row r="17" spans="1:14" ht="15.5" x14ac:dyDescent="0.35">
      <c r="A17"/>
      <c r="B17" s="7"/>
      <c r="C17" s="399"/>
      <c r="D17" s="1"/>
      <c r="E17" s="72" t="s">
        <v>35</v>
      </c>
      <c r="F17" s="134" t="s">
        <v>36</v>
      </c>
      <c r="G17" s="185"/>
      <c r="H17" s="185"/>
      <c r="I17" s="185"/>
      <c r="J17" s="185"/>
      <c r="K17" s="185"/>
      <c r="L17" s="37"/>
      <c r="M17" s="39"/>
      <c r="N17" s="37"/>
    </row>
    <row r="18" spans="1:14" ht="17.25" customHeight="1" x14ac:dyDescent="0.35">
      <c r="A18"/>
      <c r="B18" s="7"/>
      <c r="C18" s="399"/>
      <c r="D18" s="1"/>
    </row>
    <row r="19" spans="1:14" ht="20.149999999999999" customHeight="1" x14ac:dyDescent="0.35">
      <c r="A19"/>
      <c r="B19" s="59">
        <v>1</v>
      </c>
      <c r="C19" s="59"/>
      <c r="D19" s="42"/>
      <c r="E19" s="43"/>
      <c r="F19" s="43"/>
      <c r="G19" s="43"/>
      <c r="H19" s="43"/>
      <c r="I19" s="43"/>
      <c r="J19" s="43"/>
      <c r="K19" s="43"/>
      <c r="L19" s="37"/>
      <c r="M19" s="39"/>
      <c r="N19" s="37"/>
    </row>
    <row r="20" spans="1:14" ht="20.149999999999999" customHeight="1" x14ac:dyDescent="0.35">
      <c r="A20"/>
      <c r="B20" s="41"/>
      <c r="C20" s="40"/>
      <c r="D20" s="1"/>
      <c r="L20" s="37"/>
      <c r="M20" s="39"/>
      <c r="N20" s="37"/>
    </row>
    <row r="21" spans="1:14" ht="22" customHeight="1" x14ac:dyDescent="0.35">
      <c r="A21"/>
      <c r="B21" s="117">
        <v>1.1000000000000001</v>
      </c>
      <c r="C21" s="100" t="s">
        <v>37</v>
      </c>
      <c r="D21" s="21"/>
      <c r="E21" s="10"/>
      <c r="F21" s="10"/>
      <c r="G21" s="10"/>
      <c r="H21" s="10"/>
      <c r="I21" s="10"/>
      <c r="J21" s="10"/>
      <c r="K21" s="22"/>
      <c r="L21" s="37"/>
      <c r="M21" s="39"/>
      <c r="N21" s="37"/>
    </row>
    <row r="22" spans="1:14" ht="22" customHeight="1" thickBot="1" x14ac:dyDescent="0.4">
      <c r="A22"/>
      <c r="B22" s="23"/>
      <c r="C22" s="35"/>
      <c r="D22" s="24"/>
      <c r="E22" s="11"/>
      <c r="F22" s="11"/>
      <c r="G22" s="11"/>
      <c r="H22" s="11"/>
      <c r="I22" s="11"/>
      <c r="J22" s="11"/>
      <c r="K22" s="24"/>
      <c r="L22" s="37"/>
      <c r="M22" s="39"/>
      <c r="N22" s="37"/>
    </row>
    <row r="23" spans="1:14" ht="22" customHeight="1" x14ac:dyDescent="0.35">
      <c r="A23"/>
      <c r="B23" s="17"/>
      <c r="C23" s="84" t="s">
        <v>38</v>
      </c>
      <c r="D23" s="76"/>
      <c r="E23" s="30" t="s">
        <v>20</v>
      </c>
      <c r="F23" s="30" t="s">
        <v>24</v>
      </c>
      <c r="G23" s="30" t="s">
        <v>27</v>
      </c>
      <c r="H23" s="30" t="s">
        <v>29</v>
      </c>
      <c r="I23" s="31" t="s">
        <v>32</v>
      </c>
      <c r="J23" s="71" t="s">
        <v>35</v>
      </c>
      <c r="K23" s="32" t="s">
        <v>39</v>
      </c>
      <c r="L23" s="37"/>
      <c r="M23" s="39"/>
      <c r="N23" s="37"/>
    </row>
    <row r="24" spans="1:14" ht="15.5" x14ac:dyDescent="0.35">
      <c r="A24"/>
      <c r="B24" s="33"/>
      <c r="C24" s="140" t="s">
        <v>40</v>
      </c>
      <c r="D24" s="83"/>
      <c r="E24" s="56"/>
      <c r="F24" s="20"/>
      <c r="G24" s="20"/>
      <c r="H24" s="20"/>
      <c r="I24" s="234"/>
      <c r="J24" s="231"/>
      <c r="K24" s="391"/>
      <c r="L24" s="37"/>
      <c r="M24" s="39"/>
      <c r="N24" s="37"/>
    </row>
    <row r="25" spans="1:14" ht="18" customHeight="1" x14ac:dyDescent="0.35">
      <c r="A25"/>
      <c r="B25" s="33"/>
      <c r="C25" s="103" t="s">
        <v>41</v>
      </c>
      <c r="D25" s="83"/>
      <c r="E25" s="188">
        <v>1</v>
      </c>
      <c r="F25" s="20"/>
      <c r="G25" s="20"/>
      <c r="H25" s="20"/>
      <c r="I25" s="234"/>
      <c r="J25" s="188">
        <v>1</v>
      </c>
      <c r="K25" s="391"/>
      <c r="L25" s="37"/>
      <c r="M25" s="39"/>
      <c r="N25" s="37"/>
    </row>
    <row r="26" spans="1:14" ht="18" customHeight="1" x14ac:dyDescent="0.35">
      <c r="A26"/>
      <c r="B26" s="33"/>
      <c r="C26" s="103" t="s">
        <v>42</v>
      </c>
      <c r="D26" s="83"/>
      <c r="E26" s="189">
        <v>1</v>
      </c>
      <c r="F26" s="190"/>
      <c r="G26" s="190"/>
      <c r="H26" s="190"/>
      <c r="I26" s="235"/>
      <c r="J26" s="188">
        <v>1</v>
      </c>
      <c r="K26" s="391"/>
      <c r="L26" s="37"/>
      <c r="M26" s="39"/>
      <c r="N26" s="37"/>
    </row>
    <row r="27" spans="1:14" ht="46" customHeight="1" x14ac:dyDescent="0.35">
      <c r="A27"/>
      <c r="B27" s="33"/>
      <c r="C27" s="103" t="s">
        <v>43</v>
      </c>
      <c r="D27" s="83"/>
      <c r="E27" s="189"/>
      <c r="F27" s="190">
        <v>1</v>
      </c>
      <c r="G27" s="190"/>
      <c r="H27" s="190"/>
      <c r="I27" s="235"/>
      <c r="J27" s="188">
        <v>1</v>
      </c>
      <c r="K27" s="392" t="s">
        <v>44</v>
      </c>
      <c r="L27" s="37"/>
      <c r="M27" s="39"/>
      <c r="N27" s="37"/>
    </row>
    <row r="28" spans="1:14" ht="18" customHeight="1" x14ac:dyDescent="0.35">
      <c r="A28"/>
      <c r="B28" s="33"/>
      <c r="C28" s="103" t="s">
        <v>45</v>
      </c>
      <c r="D28" s="83"/>
      <c r="E28" s="189">
        <v>1</v>
      </c>
      <c r="F28" s="190"/>
      <c r="G28" s="190"/>
      <c r="H28" s="190"/>
      <c r="I28" s="235"/>
      <c r="J28" s="188">
        <v>1</v>
      </c>
      <c r="K28" s="391"/>
      <c r="L28" s="37"/>
      <c r="M28" s="39"/>
      <c r="N28" s="37"/>
    </row>
    <row r="29" spans="1:14" ht="18" customHeight="1" x14ac:dyDescent="0.35">
      <c r="A29"/>
      <c r="B29" s="33"/>
      <c r="C29" s="103" t="s">
        <v>46</v>
      </c>
      <c r="D29" s="83"/>
      <c r="E29" s="189">
        <v>1</v>
      </c>
      <c r="F29" s="190"/>
      <c r="G29" s="190"/>
      <c r="H29" s="190"/>
      <c r="I29" s="235"/>
      <c r="J29" s="188">
        <v>1</v>
      </c>
      <c r="K29" s="391"/>
      <c r="L29" s="37"/>
      <c r="M29" s="39"/>
      <c r="N29" s="37"/>
    </row>
    <row r="30" spans="1:14" ht="18" customHeight="1" x14ac:dyDescent="0.35">
      <c r="A30"/>
      <c r="B30" s="33"/>
      <c r="C30" s="103" t="s">
        <v>47</v>
      </c>
      <c r="D30" s="83"/>
      <c r="E30" s="189">
        <v>1</v>
      </c>
      <c r="F30" s="190"/>
      <c r="G30" s="190"/>
      <c r="H30" s="190"/>
      <c r="I30" s="235"/>
      <c r="J30" s="188">
        <v>1</v>
      </c>
      <c r="K30" s="391"/>
      <c r="L30" s="37"/>
      <c r="M30" s="39"/>
      <c r="N30" s="37"/>
    </row>
    <row r="31" spans="1:14" ht="18" customHeight="1" x14ac:dyDescent="0.35">
      <c r="A31"/>
      <c r="B31" s="33"/>
      <c r="C31" s="103" t="s">
        <v>48</v>
      </c>
      <c r="D31" s="83"/>
      <c r="E31" s="189">
        <v>1</v>
      </c>
      <c r="F31" s="190"/>
      <c r="G31" s="190"/>
      <c r="H31" s="190"/>
      <c r="I31" s="235"/>
      <c r="J31" s="188">
        <v>1</v>
      </c>
      <c r="K31" s="391"/>
      <c r="L31" s="37"/>
      <c r="M31" s="39"/>
      <c r="N31" s="37"/>
    </row>
    <row r="32" spans="1:14" s="142" customFormat="1" ht="18" customHeight="1" x14ac:dyDescent="0.35">
      <c r="B32" s="143"/>
      <c r="C32" s="104" t="s">
        <v>49</v>
      </c>
      <c r="D32" s="144"/>
      <c r="E32" s="191">
        <v>1</v>
      </c>
      <c r="F32" s="192"/>
      <c r="G32" s="192"/>
      <c r="H32" s="192"/>
      <c r="I32" s="236"/>
      <c r="J32" s="188">
        <v>1</v>
      </c>
      <c r="K32" s="393"/>
      <c r="L32" s="145"/>
      <c r="M32" s="146"/>
      <c r="N32" s="145"/>
    </row>
    <row r="33" spans="1:14" s="142" customFormat="1" ht="18" customHeight="1" x14ac:dyDescent="0.35">
      <c r="B33" s="143"/>
      <c r="C33" s="102" t="s">
        <v>50</v>
      </c>
      <c r="D33" s="144"/>
      <c r="E33" s="191">
        <v>1</v>
      </c>
      <c r="F33" s="192"/>
      <c r="G33" s="192"/>
      <c r="H33" s="192"/>
      <c r="I33" s="236"/>
      <c r="J33" s="188">
        <v>1</v>
      </c>
      <c r="K33" s="393"/>
      <c r="L33" s="145"/>
      <c r="M33" s="146"/>
      <c r="N33" s="145"/>
    </row>
    <row r="34" spans="1:14" ht="18" customHeight="1" x14ac:dyDescent="0.35">
      <c r="A34"/>
      <c r="B34" s="33"/>
      <c r="C34" s="103" t="s">
        <v>51</v>
      </c>
      <c r="D34" s="83"/>
      <c r="E34" s="189">
        <v>1</v>
      </c>
      <c r="F34" s="190"/>
      <c r="G34" s="190"/>
      <c r="H34" s="190"/>
      <c r="I34" s="235"/>
      <c r="J34" s="188">
        <v>1</v>
      </c>
      <c r="K34" s="391"/>
      <c r="L34" s="37"/>
      <c r="M34" s="39"/>
      <c r="N34" s="37"/>
    </row>
    <row r="35" spans="1:14" ht="18" customHeight="1" x14ac:dyDescent="0.35">
      <c r="A35"/>
      <c r="B35" s="33"/>
      <c r="C35" s="103" t="s">
        <v>52</v>
      </c>
      <c r="D35" s="83"/>
      <c r="E35" s="189">
        <v>1</v>
      </c>
      <c r="F35" s="190"/>
      <c r="G35" s="190"/>
      <c r="H35" s="190"/>
      <c r="I35" s="235"/>
      <c r="J35" s="188">
        <v>1</v>
      </c>
      <c r="K35" s="391"/>
      <c r="L35" s="37"/>
      <c r="M35" s="39"/>
      <c r="N35" s="37"/>
    </row>
    <row r="36" spans="1:14" ht="35.25" customHeight="1" x14ac:dyDescent="0.35">
      <c r="A36"/>
      <c r="B36" s="33"/>
      <c r="C36" s="103" t="s">
        <v>53</v>
      </c>
      <c r="D36" s="83"/>
      <c r="E36" s="189">
        <v>1</v>
      </c>
      <c r="F36" s="190"/>
      <c r="G36" s="190"/>
      <c r="H36" s="190"/>
      <c r="I36" s="235"/>
      <c r="J36" s="188">
        <v>1</v>
      </c>
      <c r="K36" s="394"/>
      <c r="L36" s="37"/>
      <c r="M36" s="39"/>
      <c r="N36" s="37"/>
    </row>
    <row r="37" spans="1:14" ht="18" customHeight="1" x14ac:dyDescent="0.35">
      <c r="A37"/>
      <c r="B37" s="33"/>
      <c r="C37" s="103" t="s">
        <v>54</v>
      </c>
      <c r="D37" s="83"/>
      <c r="E37" s="189">
        <v>1</v>
      </c>
      <c r="F37" s="190"/>
      <c r="G37" s="190"/>
      <c r="H37" s="190"/>
      <c r="I37" s="235"/>
      <c r="J37" s="188">
        <v>1</v>
      </c>
      <c r="K37" s="391"/>
      <c r="L37" s="37"/>
      <c r="M37" s="39"/>
      <c r="N37" s="37"/>
    </row>
    <row r="38" spans="1:14" ht="18" customHeight="1" x14ac:dyDescent="0.35">
      <c r="A38"/>
      <c r="B38" s="33"/>
      <c r="C38" s="103" t="s">
        <v>55</v>
      </c>
      <c r="D38" s="83"/>
      <c r="E38" s="189"/>
      <c r="F38" s="190">
        <v>1</v>
      </c>
      <c r="G38" s="190"/>
      <c r="H38" s="190"/>
      <c r="I38" s="235"/>
      <c r="J38" s="188">
        <v>1</v>
      </c>
      <c r="K38" s="391"/>
      <c r="L38" s="37"/>
      <c r="M38" s="39"/>
      <c r="N38" s="37"/>
    </row>
    <row r="39" spans="1:14" ht="18" customHeight="1" x14ac:dyDescent="0.35">
      <c r="A39"/>
      <c r="B39" s="33"/>
      <c r="C39" s="103" t="s">
        <v>56</v>
      </c>
      <c r="D39" s="83"/>
      <c r="E39" s="189">
        <v>1</v>
      </c>
      <c r="F39" s="190"/>
      <c r="G39" s="190"/>
      <c r="H39" s="190"/>
      <c r="I39" s="235"/>
      <c r="J39" s="188">
        <v>1</v>
      </c>
      <c r="K39" s="391"/>
      <c r="L39" s="37"/>
      <c r="M39" s="39"/>
      <c r="N39" s="37"/>
    </row>
    <row r="40" spans="1:14" ht="18" customHeight="1" x14ac:dyDescent="0.35">
      <c r="A40"/>
      <c r="B40" s="33"/>
      <c r="C40" s="103" t="s">
        <v>57</v>
      </c>
      <c r="D40" s="83"/>
      <c r="E40" s="189">
        <v>1</v>
      </c>
      <c r="F40" s="190"/>
      <c r="G40" s="190"/>
      <c r="H40" s="190"/>
      <c r="I40" s="235"/>
      <c r="J40" s="188">
        <v>1</v>
      </c>
      <c r="K40" s="391"/>
      <c r="L40" s="37"/>
      <c r="M40" s="39"/>
      <c r="N40" s="37"/>
    </row>
    <row r="41" spans="1:14" ht="18" customHeight="1" x14ac:dyDescent="0.35">
      <c r="A41"/>
      <c r="B41" s="33"/>
      <c r="C41" s="101" t="s">
        <v>58</v>
      </c>
      <c r="D41" s="83"/>
      <c r="E41" s="189">
        <v>1</v>
      </c>
      <c r="F41" s="190"/>
      <c r="G41" s="190"/>
      <c r="H41" s="190"/>
      <c r="I41" s="235"/>
      <c r="J41" s="188">
        <v>1</v>
      </c>
      <c r="K41" s="391"/>
      <c r="L41" s="37"/>
      <c r="M41" s="39"/>
      <c r="N41" s="37"/>
    </row>
    <row r="42" spans="1:14" ht="18" customHeight="1" x14ac:dyDescent="0.35">
      <c r="A42"/>
      <c r="B42" s="33"/>
      <c r="C42" s="101"/>
      <c r="D42" s="83"/>
      <c r="E42" s="189"/>
      <c r="F42" s="190"/>
      <c r="G42" s="190"/>
      <c r="H42" s="190"/>
      <c r="I42" s="235"/>
      <c r="J42" s="232"/>
      <c r="K42" s="391"/>
      <c r="L42" s="37"/>
      <c r="M42" s="39"/>
      <c r="N42" s="37"/>
    </row>
    <row r="43" spans="1:14" ht="18" customHeight="1" x14ac:dyDescent="0.35">
      <c r="A43"/>
      <c r="B43" s="33"/>
      <c r="C43" s="141" t="s">
        <v>59</v>
      </c>
      <c r="D43" s="83"/>
      <c r="E43" s="189"/>
      <c r="F43" s="190"/>
      <c r="G43" s="190"/>
      <c r="H43" s="190"/>
      <c r="I43" s="235"/>
      <c r="J43" s="232"/>
      <c r="K43" s="391"/>
      <c r="L43" s="37"/>
      <c r="M43" s="39"/>
      <c r="N43" s="37"/>
    </row>
    <row r="44" spans="1:14" ht="18" customHeight="1" x14ac:dyDescent="0.35">
      <c r="A44"/>
      <c r="B44" s="33"/>
      <c r="C44" s="101" t="s">
        <v>60</v>
      </c>
      <c r="D44" s="83"/>
      <c r="E44" s="189">
        <v>1</v>
      </c>
      <c r="F44" s="190"/>
      <c r="G44" s="190"/>
      <c r="H44" s="190"/>
      <c r="I44" s="235"/>
      <c r="J44" s="188">
        <v>1</v>
      </c>
      <c r="K44" s="391"/>
      <c r="L44" s="37"/>
      <c r="M44" s="39"/>
      <c r="N44" s="37"/>
    </row>
    <row r="45" spans="1:14" ht="18" customHeight="1" x14ac:dyDescent="0.35">
      <c r="A45"/>
      <c r="B45" s="33"/>
      <c r="C45" s="101" t="s">
        <v>61</v>
      </c>
      <c r="D45" s="83"/>
      <c r="E45" s="189">
        <v>1</v>
      </c>
      <c r="F45" s="190"/>
      <c r="G45" s="190"/>
      <c r="H45" s="190"/>
      <c r="I45" s="235"/>
      <c r="J45" s="188">
        <v>1</v>
      </c>
      <c r="K45" s="391"/>
      <c r="L45" s="37"/>
      <c r="M45" s="39"/>
      <c r="N45" s="37"/>
    </row>
    <row r="46" spans="1:14" ht="18" customHeight="1" x14ac:dyDescent="0.35">
      <c r="A46"/>
      <c r="B46" s="33"/>
      <c r="C46" s="101" t="s">
        <v>62</v>
      </c>
      <c r="D46" s="83"/>
      <c r="E46" s="189">
        <v>1</v>
      </c>
      <c r="F46" s="190"/>
      <c r="G46" s="190"/>
      <c r="H46" s="190"/>
      <c r="I46" s="235"/>
      <c r="J46" s="188">
        <v>1</v>
      </c>
      <c r="K46" s="391"/>
      <c r="L46" s="37"/>
      <c r="M46" s="39"/>
      <c r="N46" s="37"/>
    </row>
    <row r="47" spans="1:14" ht="18" customHeight="1" x14ac:dyDescent="0.35">
      <c r="A47"/>
      <c r="B47" s="33"/>
      <c r="C47" s="102" t="s">
        <v>63</v>
      </c>
      <c r="D47" s="83"/>
      <c r="E47" s="189">
        <v>1</v>
      </c>
      <c r="F47" s="190"/>
      <c r="G47" s="190"/>
      <c r="H47" s="190"/>
      <c r="I47" s="235"/>
      <c r="J47" s="188">
        <v>1</v>
      </c>
      <c r="K47" s="391"/>
      <c r="L47" s="37"/>
      <c r="M47" s="39"/>
      <c r="N47" s="37"/>
    </row>
    <row r="48" spans="1:14" ht="18" customHeight="1" x14ac:dyDescent="0.35">
      <c r="A48"/>
      <c r="B48" s="33"/>
      <c r="C48" s="102" t="s">
        <v>64</v>
      </c>
      <c r="D48" s="83"/>
      <c r="E48" s="189">
        <v>1</v>
      </c>
      <c r="F48" s="190"/>
      <c r="G48" s="190"/>
      <c r="H48" s="190"/>
      <c r="I48" s="235"/>
      <c r="J48" s="188">
        <v>1</v>
      </c>
      <c r="K48" s="391"/>
      <c r="L48" s="37"/>
      <c r="M48" s="39"/>
      <c r="N48" s="37"/>
    </row>
    <row r="49" spans="1:14" ht="18" customHeight="1" x14ac:dyDescent="0.35">
      <c r="A49"/>
      <c r="B49" s="33"/>
      <c r="C49" s="102" t="s">
        <v>65</v>
      </c>
      <c r="D49" s="83"/>
      <c r="E49" s="189">
        <v>1</v>
      </c>
      <c r="F49" s="190"/>
      <c r="G49" s="190"/>
      <c r="H49" s="190"/>
      <c r="I49" s="235"/>
      <c r="J49" s="188">
        <v>1</v>
      </c>
      <c r="K49" s="391"/>
      <c r="L49" s="37"/>
      <c r="M49" s="39"/>
      <c r="N49" s="37"/>
    </row>
    <row r="50" spans="1:14" ht="18" customHeight="1" x14ac:dyDescent="0.35">
      <c r="A50"/>
      <c r="B50" s="33"/>
      <c r="C50" s="102" t="s">
        <v>66</v>
      </c>
      <c r="D50" s="83"/>
      <c r="E50" s="189">
        <v>1</v>
      </c>
      <c r="F50" s="190"/>
      <c r="G50" s="190"/>
      <c r="H50" s="190"/>
      <c r="I50" s="235"/>
      <c r="J50" s="188">
        <v>1</v>
      </c>
      <c r="K50" s="391"/>
      <c r="L50" s="37"/>
      <c r="M50" s="39"/>
      <c r="N50" s="37"/>
    </row>
    <row r="51" spans="1:14" ht="80.150000000000006" customHeight="1" x14ac:dyDescent="0.35">
      <c r="A51"/>
      <c r="B51" s="33"/>
      <c r="C51" s="102" t="s">
        <v>67</v>
      </c>
      <c r="D51" s="83"/>
      <c r="E51" s="189"/>
      <c r="F51" s="190">
        <v>1</v>
      </c>
      <c r="G51" s="190"/>
      <c r="H51" s="190"/>
      <c r="I51" s="235"/>
      <c r="J51" s="188">
        <v>1</v>
      </c>
      <c r="K51" s="392" t="s">
        <v>68</v>
      </c>
      <c r="L51" s="37"/>
      <c r="M51" s="39"/>
      <c r="N51" s="37"/>
    </row>
    <row r="52" spans="1:14" ht="18" customHeight="1" x14ac:dyDescent="0.35">
      <c r="A52"/>
      <c r="B52" s="33"/>
      <c r="C52" s="101" t="s">
        <v>69</v>
      </c>
      <c r="D52" s="83"/>
      <c r="E52" s="189">
        <v>1</v>
      </c>
      <c r="F52" s="190"/>
      <c r="G52" s="190"/>
      <c r="H52" s="190"/>
      <c r="I52" s="235"/>
      <c r="J52" s="188">
        <v>1</v>
      </c>
      <c r="K52" s="395"/>
      <c r="L52" s="37"/>
      <c r="M52" s="39"/>
      <c r="N52" s="37"/>
    </row>
    <row r="53" spans="1:14" ht="18" customHeight="1" x14ac:dyDescent="0.35">
      <c r="A53"/>
      <c r="B53" s="33"/>
      <c r="C53" s="101" t="s">
        <v>70</v>
      </c>
      <c r="D53" s="83"/>
      <c r="E53" s="189">
        <v>1</v>
      </c>
      <c r="F53" s="190"/>
      <c r="G53" s="190"/>
      <c r="H53" s="190"/>
      <c r="I53" s="235"/>
      <c r="J53" s="188">
        <v>1</v>
      </c>
      <c r="K53" s="395"/>
      <c r="L53" s="37"/>
      <c r="M53" s="39"/>
      <c r="N53" s="37"/>
    </row>
    <row r="54" spans="1:14" ht="51" customHeight="1" x14ac:dyDescent="0.35">
      <c r="A54"/>
      <c r="B54" s="33"/>
      <c r="C54" s="101" t="s">
        <v>71</v>
      </c>
      <c r="D54" s="83"/>
      <c r="E54" s="189"/>
      <c r="F54" s="190"/>
      <c r="G54" s="190"/>
      <c r="H54" s="190"/>
      <c r="I54" s="235">
        <v>1</v>
      </c>
      <c r="J54" s="188"/>
      <c r="K54" s="392" t="s">
        <v>72</v>
      </c>
      <c r="L54" s="37"/>
      <c r="M54" s="39"/>
      <c r="N54" s="37"/>
    </row>
    <row r="55" spans="1:14" ht="18" customHeight="1" x14ac:dyDescent="0.35">
      <c r="A55"/>
      <c r="B55" s="33"/>
      <c r="C55" s="101" t="s">
        <v>73</v>
      </c>
      <c r="D55" s="83"/>
      <c r="E55" s="189">
        <v>1</v>
      </c>
      <c r="F55" s="190"/>
      <c r="G55" s="190"/>
      <c r="H55" s="190"/>
      <c r="I55" s="235"/>
      <c r="J55" s="188">
        <v>1</v>
      </c>
      <c r="K55" s="392"/>
      <c r="L55" s="37"/>
      <c r="M55" s="39"/>
      <c r="N55" s="37"/>
    </row>
    <row r="56" spans="1:14" ht="18" customHeight="1" x14ac:dyDescent="0.35">
      <c r="A56"/>
      <c r="B56" s="33"/>
      <c r="C56" s="101" t="s">
        <v>74</v>
      </c>
      <c r="D56" s="83"/>
      <c r="E56" s="189">
        <v>1</v>
      </c>
      <c r="F56" s="190"/>
      <c r="G56" s="190"/>
      <c r="H56" s="190"/>
      <c r="I56" s="235"/>
      <c r="J56" s="188">
        <v>1</v>
      </c>
      <c r="K56" s="395"/>
      <c r="L56" s="37"/>
      <c r="M56" s="39"/>
      <c r="N56" s="37"/>
    </row>
    <row r="57" spans="1:14" ht="18" customHeight="1" x14ac:dyDescent="0.35">
      <c r="A57"/>
      <c r="B57" s="33"/>
      <c r="C57" s="101" t="s">
        <v>75</v>
      </c>
      <c r="D57" s="83"/>
      <c r="E57" s="189">
        <v>1</v>
      </c>
      <c r="F57" s="190"/>
      <c r="G57" s="190"/>
      <c r="H57" s="190"/>
      <c r="I57" s="235"/>
      <c r="J57" s="188">
        <v>1</v>
      </c>
      <c r="K57" s="395"/>
      <c r="L57" s="37"/>
      <c r="M57" s="39"/>
      <c r="N57" s="37"/>
    </row>
    <row r="58" spans="1:14" ht="18" customHeight="1" x14ac:dyDescent="0.35">
      <c r="A58"/>
      <c r="B58" s="33"/>
      <c r="C58" s="101" t="s">
        <v>76</v>
      </c>
      <c r="D58" s="83"/>
      <c r="E58" s="189">
        <v>1</v>
      </c>
      <c r="F58" s="190"/>
      <c r="G58" s="190"/>
      <c r="H58" s="190"/>
      <c r="I58" s="235"/>
      <c r="J58" s="188">
        <v>1</v>
      </c>
      <c r="K58" s="395"/>
      <c r="L58" s="37"/>
      <c r="M58" s="39"/>
      <c r="N58" s="37"/>
    </row>
    <row r="59" spans="1:14" s="142" customFormat="1" ht="18" customHeight="1" x14ac:dyDescent="0.35">
      <c r="B59" s="143"/>
      <c r="C59" s="102" t="s">
        <v>77</v>
      </c>
      <c r="D59" s="144"/>
      <c r="E59" s="191">
        <v>1</v>
      </c>
      <c r="F59" s="192"/>
      <c r="G59" s="192"/>
      <c r="H59" s="192"/>
      <c r="I59" s="236"/>
      <c r="J59" s="188">
        <v>1</v>
      </c>
      <c r="K59" s="396"/>
      <c r="L59" s="145"/>
      <c r="M59" s="146"/>
      <c r="N59" s="145"/>
    </row>
    <row r="60" spans="1:14" ht="18" customHeight="1" x14ac:dyDescent="0.35">
      <c r="A60"/>
      <c r="B60" s="33"/>
      <c r="C60" s="101" t="s">
        <v>78</v>
      </c>
      <c r="D60" s="83"/>
      <c r="E60" s="189"/>
      <c r="F60" s="190">
        <v>1</v>
      </c>
      <c r="G60" s="190"/>
      <c r="H60" s="190"/>
      <c r="I60" s="235"/>
      <c r="J60" s="188">
        <v>1</v>
      </c>
      <c r="K60" s="395"/>
      <c r="L60" s="37"/>
      <c r="M60" s="39"/>
      <c r="N60" s="37"/>
    </row>
    <row r="61" spans="1:14" ht="18" customHeight="1" x14ac:dyDescent="0.35">
      <c r="A61"/>
      <c r="B61" s="33"/>
      <c r="C61" s="101" t="s">
        <v>79</v>
      </c>
      <c r="D61" s="83"/>
      <c r="E61" s="189">
        <v>1</v>
      </c>
      <c r="F61" s="190"/>
      <c r="G61" s="190"/>
      <c r="H61" s="190"/>
      <c r="I61" s="235"/>
      <c r="J61" s="188">
        <v>1</v>
      </c>
      <c r="K61" s="395"/>
      <c r="L61" s="37"/>
      <c r="M61" s="39"/>
      <c r="N61" s="37"/>
    </row>
    <row r="62" spans="1:14" ht="18" customHeight="1" x14ac:dyDescent="0.35">
      <c r="A62"/>
      <c r="B62" s="33"/>
      <c r="C62" s="101" t="s">
        <v>80</v>
      </c>
      <c r="D62" s="83"/>
      <c r="E62" s="189"/>
      <c r="F62" s="190">
        <v>1</v>
      </c>
      <c r="G62" s="190"/>
      <c r="H62" s="190"/>
      <c r="I62" s="235"/>
      <c r="J62" s="188">
        <v>1</v>
      </c>
      <c r="K62" s="392"/>
      <c r="L62" s="37"/>
      <c r="M62" s="39"/>
      <c r="N62" s="37"/>
    </row>
    <row r="63" spans="1:14" ht="18" customHeight="1" x14ac:dyDescent="0.35">
      <c r="A63"/>
      <c r="B63" s="33"/>
      <c r="C63" s="101" t="s">
        <v>81</v>
      </c>
      <c r="D63" s="83"/>
      <c r="E63" s="189"/>
      <c r="F63" s="190">
        <v>1</v>
      </c>
      <c r="G63" s="190"/>
      <c r="H63" s="190"/>
      <c r="I63" s="235"/>
      <c r="J63" s="188">
        <v>1</v>
      </c>
      <c r="K63" s="395"/>
      <c r="L63" s="37"/>
      <c r="M63" s="39"/>
      <c r="N63" s="37"/>
    </row>
    <row r="64" spans="1:14" ht="57.75" customHeight="1" x14ac:dyDescent="0.35">
      <c r="A64"/>
      <c r="B64" s="33"/>
      <c r="C64" s="101" t="s">
        <v>82</v>
      </c>
      <c r="D64" s="83"/>
      <c r="E64" s="189">
        <v>1</v>
      </c>
      <c r="F64" s="190"/>
      <c r="G64" s="190"/>
      <c r="H64" s="190"/>
      <c r="I64" s="235"/>
      <c r="J64" s="188">
        <v>1</v>
      </c>
      <c r="K64" s="392" t="s">
        <v>83</v>
      </c>
      <c r="L64" s="37"/>
      <c r="M64" s="39"/>
      <c r="N64" s="37"/>
    </row>
    <row r="65" spans="1:14" ht="18" customHeight="1" x14ac:dyDescent="0.35">
      <c r="A65"/>
      <c r="B65" s="33"/>
      <c r="C65" s="101" t="s">
        <v>84</v>
      </c>
      <c r="D65" s="83"/>
      <c r="E65" s="189">
        <v>1</v>
      </c>
      <c r="F65" s="190"/>
      <c r="G65" s="190"/>
      <c r="H65" s="190"/>
      <c r="I65" s="235"/>
      <c r="J65" s="188">
        <v>1</v>
      </c>
      <c r="K65" s="395"/>
      <c r="L65" s="37"/>
      <c r="M65" s="39"/>
      <c r="N65" s="37"/>
    </row>
    <row r="66" spans="1:14" ht="18" customHeight="1" x14ac:dyDescent="0.35">
      <c r="A66"/>
      <c r="B66" s="33"/>
      <c r="C66" s="101" t="s">
        <v>85</v>
      </c>
      <c r="D66" s="83"/>
      <c r="E66" s="189">
        <v>1</v>
      </c>
      <c r="F66" s="190"/>
      <c r="G66" s="190"/>
      <c r="H66" s="190"/>
      <c r="I66" s="235"/>
      <c r="J66" s="188">
        <v>1</v>
      </c>
      <c r="K66" s="395"/>
      <c r="L66" s="37"/>
      <c r="M66" s="39"/>
      <c r="N66" s="37"/>
    </row>
    <row r="67" spans="1:14" ht="31" x14ac:dyDescent="0.35">
      <c r="A67"/>
      <c r="B67" s="33"/>
      <c r="C67" s="101" t="s">
        <v>86</v>
      </c>
      <c r="D67" s="83"/>
      <c r="E67" s="189"/>
      <c r="F67" s="190">
        <v>1</v>
      </c>
      <c r="G67" s="190"/>
      <c r="H67" s="190"/>
      <c r="I67" s="235"/>
      <c r="J67" s="188">
        <v>1</v>
      </c>
      <c r="K67" s="395"/>
      <c r="L67" s="37"/>
      <c r="M67" s="39"/>
      <c r="N67" s="37"/>
    </row>
    <row r="68" spans="1:14" ht="18" customHeight="1" x14ac:dyDescent="0.35">
      <c r="A68"/>
      <c r="B68" s="33"/>
      <c r="C68" s="101" t="s">
        <v>87</v>
      </c>
      <c r="D68" s="83"/>
      <c r="E68" s="189">
        <v>1</v>
      </c>
      <c r="F68" s="190"/>
      <c r="G68" s="190"/>
      <c r="H68" s="190"/>
      <c r="I68" s="235"/>
      <c r="J68" s="188">
        <v>1</v>
      </c>
      <c r="K68" s="395"/>
      <c r="L68" s="37"/>
      <c r="M68" s="39"/>
      <c r="N68" s="37"/>
    </row>
    <row r="69" spans="1:14" ht="18" customHeight="1" x14ac:dyDescent="0.35">
      <c r="A69"/>
      <c r="B69" s="33"/>
      <c r="C69" s="101" t="s">
        <v>88</v>
      </c>
      <c r="D69" s="83"/>
      <c r="E69" s="189">
        <v>1</v>
      </c>
      <c r="F69" s="190"/>
      <c r="G69" s="190"/>
      <c r="H69" s="190"/>
      <c r="I69" s="235"/>
      <c r="J69" s="188">
        <v>1</v>
      </c>
      <c r="K69" s="391"/>
      <c r="L69" s="37"/>
      <c r="M69" s="39"/>
      <c r="N69" s="37"/>
    </row>
    <row r="70" spans="1:14" ht="18" customHeight="1" x14ac:dyDescent="0.35">
      <c r="A70"/>
      <c r="B70" s="33"/>
      <c r="C70" s="101" t="s">
        <v>89</v>
      </c>
      <c r="D70" s="83"/>
      <c r="E70" s="189">
        <v>1</v>
      </c>
      <c r="F70" s="190"/>
      <c r="G70" s="190"/>
      <c r="H70" s="190"/>
      <c r="I70" s="235"/>
      <c r="J70" s="188">
        <v>1</v>
      </c>
      <c r="K70" s="391"/>
      <c r="L70" s="37"/>
      <c r="M70" s="39"/>
      <c r="N70" s="37"/>
    </row>
    <row r="71" spans="1:14" ht="18" customHeight="1" x14ac:dyDescent="0.35">
      <c r="A71"/>
      <c r="B71" s="33"/>
      <c r="C71" s="101" t="s">
        <v>90</v>
      </c>
      <c r="D71" s="83"/>
      <c r="E71" s="189">
        <v>1</v>
      </c>
      <c r="F71" s="190"/>
      <c r="G71" s="190"/>
      <c r="H71" s="190"/>
      <c r="I71" s="235"/>
      <c r="J71" s="188">
        <v>1</v>
      </c>
      <c r="K71" s="391"/>
      <c r="L71" s="37"/>
      <c r="M71" s="39"/>
      <c r="N71" s="37"/>
    </row>
    <row r="72" spans="1:14" ht="18" customHeight="1" x14ac:dyDescent="0.35">
      <c r="A72"/>
      <c r="B72" s="33"/>
      <c r="C72" s="101" t="s">
        <v>91</v>
      </c>
      <c r="D72" s="83"/>
      <c r="E72" s="189">
        <v>1</v>
      </c>
      <c r="F72" s="190"/>
      <c r="G72" s="190"/>
      <c r="H72" s="190"/>
      <c r="I72" s="235"/>
      <c r="J72" s="188">
        <v>1</v>
      </c>
      <c r="K72" s="391"/>
      <c r="L72" s="37"/>
      <c r="M72" s="39"/>
      <c r="N72" s="37"/>
    </row>
    <row r="73" spans="1:14" ht="18" customHeight="1" x14ac:dyDescent="0.35">
      <c r="A73"/>
      <c r="B73" s="33"/>
      <c r="C73" s="101"/>
      <c r="D73" s="83"/>
      <c r="E73" s="189"/>
      <c r="F73" s="190"/>
      <c r="G73" s="190"/>
      <c r="H73" s="190"/>
      <c r="I73" s="235"/>
      <c r="J73" s="232"/>
      <c r="K73" s="391"/>
      <c r="L73" s="37"/>
      <c r="M73" s="39"/>
      <c r="N73" s="37"/>
    </row>
    <row r="74" spans="1:14" ht="18" customHeight="1" x14ac:dyDescent="0.35">
      <c r="A74"/>
      <c r="B74" s="33"/>
      <c r="C74" s="141" t="s">
        <v>92</v>
      </c>
      <c r="D74" s="83"/>
      <c r="E74" s="189"/>
      <c r="F74" s="190"/>
      <c r="G74" s="190"/>
      <c r="H74" s="190"/>
      <c r="I74" s="235"/>
      <c r="J74" s="232"/>
      <c r="K74" s="391"/>
      <c r="L74" s="37"/>
      <c r="M74" s="39"/>
      <c r="N74" s="37"/>
    </row>
    <row r="75" spans="1:14" ht="18" customHeight="1" x14ac:dyDescent="0.35">
      <c r="A75"/>
      <c r="B75" s="33"/>
      <c r="C75" s="101" t="s">
        <v>93</v>
      </c>
      <c r="D75" s="83"/>
      <c r="E75" s="189">
        <v>1</v>
      </c>
      <c r="F75" s="190"/>
      <c r="G75" s="190"/>
      <c r="H75" s="190"/>
      <c r="I75" s="235"/>
      <c r="J75" s="188">
        <v>1</v>
      </c>
      <c r="K75" s="391"/>
      <c r="L75" s="37"/>
      <c r="M75" s="39"/>
      <c r="N75" s="37"/>
    </row>
    <row r="76" spans="1:14" ht="18" customHeight="1" x14ac:dyDescent="0.35">
      <c r="A76"/>
      <c r="B76" s="33"/>
      <c r="C76" s="103" t="s">
        <v>94</v>
      </c>
      <c r="D76" s="83"/>
      <c r="E76" s="189">
        <v>1</v>
      </c>
      <c r="F76" s="190"/>
      <c r="G76" s="190"/>
      <c r="H76" s="190"/>
      <c r="I76" s="235"/>
      <c r="J76" s="188">
        <v>1</v>
      </c>
      <c r="K76" s="391"/>
      <c r="L76" s="37"/>
      <c r="M76" s="39"/>
      <c r="N76" s="37"/>
    </row>
    <row r="77" spans="1:14" ht="18" customHeight="1" x14ac:dyDescent="0.35">
      <c r="A77"/>
      <c r="B77" s="33"/>
      <c r="C77" s="103" t="s">
        <v>95</v>
      </c>
      <c r="D77" s="83"/>
      <c r="E77" s="189">
        <v>1</v>
      </c>
      <c r="F77" s="190"/>
      <c r="G77" s="190"/>
      <c r="H77" s="190"/>
      <c r="I77" s="235"/>
      <c r="J77" s="188">
        <v>1</v>
      </c>
      <c r="K77" s="391"/>
      <c r="L77" s="37"/>
      <c r="M77" s="39"/>
      <c r="N77" s="37"/>
    </row>
    <row r="78" spans="1:14" ht="18" customHeight="1" x14ac:dyDescent="0.35">
      <c r="A78"/>
      <c r="B78" s="33"/>
      <c r="C78" s="103" t="s">
        <v>96</v>
      </c>
      <c r="D78" s="83"/>
      <c r="E78" s="189">
        <v>1</v>
      </c>
      <c r="F78" s="190"/>
      <c r="G78" s="190"/>
      <c r="H78" s="190"/>
      <c r="I78" s="235"/>
      <c r="J78" s="188">
        <v>1</v>
      </c>
      <c r="K78" s="391"/>
      <c r="L78" s="37"/>
      <c r="M78" s="39"/>
      <c r="N78" s="37"/>
    </row>
    <row r="79" spans="1:14" ht="18" customHeight="1" x14ac:dyDescent="0.35">
      <c r="A79"/>
      <c r="B79" s="33"/>
      <c r="C79" s="103" t="s">
        <v>97</v>
      </c>
      <c r="D79" s="83"/>
      <c r="E79" s="189">
        <v>1</v>
      </c>
      <c r="F79" s="190"/>
      <c r="G79" s="190"/>
      <c r="H79" s="190"/>
      <c r="I79" s="235"/>
      <c r="J79" s="188">
        <v>1</v>
      </c>
      <c r="K79" s="391"/>
      <c r="L79" s="37"/>
      <c r="M79" s="39"/>
      <c r="N79" s="37"/>
    </row>
    <row r="80" spans="1:14" ht="20.149999999999999" customHeight="1" thickBot="1" x14ac:dyDescent="0.4">
      <c r="A80"/>
      <c r="B80" s="33"/>
      <c r="C80" s="85"/>
      <c r="D80" s="83"/>
      <c r="E80" s="193"/>
      <c r="F80" s="194"/>
      <c r="G80" s="194"/>
      <c r="H80" s="194"/>
      <c r="I80" s="237"/>
      <c r="J80" s="233"/>
      <c r="K80" s="319"/>
      <c r="L80" s="37"/>
      <c r="M80" s="39"/>
      <c r="N80" s="37"/>
    </row>
    <row r="81" spans="1:14" ht="20.149999999999999" customHeight="1" x14ac:dyDescent="0.35">
      <c r="A81"/>
      <c r="B81" s="17"/>
      <c r="C81" s="27"/>
      <c r="D81" s="25"/>
      <c r="E81" s="195">
        <f t="shared" ref="E81:J81" si="0">SUM(E24:E80)</f>
        <v>43</v>
      </c>
      <c r="F81" s="195">
        <f t="shared" si="0"/>
        <v>7</v>
      </c>
      <c r="G81" s="195">
        <f t="shared" si="0"/>
        <v>0</v>
      </c>
      <c r="H81" s="195">
        <f t="shared" si="0"/>
        <v>0</v>
      </c>
      <c r="I81" s="195">
        <f t="shared" si="0"/>
        <v>1</v>
      </c>
      <c r="J81" s="195">
        <f t="shared" si="0"/>
        <v>50</v>
      </c>
      <c r="K81" s="25"/>
      <c r="L81" s="37"/>
      <c r="M81" s="39"/>
      <c r="N81" s="37"/>
    </row>
    <row r="82" spans="1:14" ht="20.149999999999999" customHeight="1" x14ac:dyDescent="0.35">
      <c r="A82"/>
      <c r="B82" s="41"/>
      <c r="C82" s="40"/>
      <c r="D82" s="1"/>
      <c r="E82" s="265"/>
      <c r="F82" s="265"/>
      <c r="G82" s="265"/>
      <c r="H82" s="265"/>
      <c r="I82" s="265"/>
      <c r="J82" s="265"/>
      <c r="K82" s="185"/>
      <c r="L82" s="37"/>
      <c r="M82" s="39"/>
      <c r="N82" s="37"/>
    </row>
    <row r="83" spans="1:14" ht="22" customHeight="1" x14ac:dyDescent="0.35">
      <c r="A83"/>
      <c r="B83" s="117">
        <v>1.2</v>
      </c>
      <c r="C83" s="100" t="s">
        <v>98</v>
      </c>
      <c r="D83" s="21"/>
      <c r="E83" s="196"/>
      <c r="F83" s="196"/>
      <c r="G83" s="196"/>
      <c r="H83" s="196"/>
      <c r="I83" s="196"/>
      <c r="J83" s="196"/>
      <c r="K83" s="320"/>
      <c r="L83" s="37"/>
      <c r="M83" s="39"/>
      <c r="N83" s="37"/>
    </row>
    <row r="84" spans="1:14" ht="22" customHeight="1" thickBot="1" x14ac:dyDescent="0.4">
      <c r="A84"/>
      <c r="B84" s="17"/>
      <c r="C84" s="28"/>
      <c r="D84" s="24"/>
      <c r="E84" s="197"/>
      <c r="F84" s="197"/>
      <c r="G84" s="197"/>
      <c r="H84" s="197"/>
      <c r="I84" s="197"/>
      <c r="J84" s="197"/>
      <c r="K84" s="321"/>
      <c r="L84" s="37"/>
      <c r="M84" s="39"/>
      <c r="N84" s="37"/>
    </row>
    <row r="85" spans="1:14" ht="22" customHeight="1" x14ac:dyDescent="0.35">
      <c r="A85"/>
      <c r="B85" s="17"/>
      <c r="C85" s="45" t="s">
        <v>38</v>
      </c>
      <c r="D85" s="57"/>
      <c r="E85" s="198" t="s">
        <v>20</v>
      </c>
      <c r="F85" s="198" t="s">
        <v>24</v>
      </c>
      <c r="G85" s="198" t="s">
        <v>27</v>
      </c>
      <c r="H85" s="198" t="s">
        <v>29</v>
      </c>
      <c r="I85" s="199" t="s">
        <v>32</v>
      </c>
      <c r="J85" s="200" t="s">
        <v>35</v>
      </c>
      <c r="K85" s="322" t="s">
        <v>39</v>
      </c>
      <c r="L85" s="37"/>
      <c r="M85" s="39"/>
      <c r="N85" s="37"/>
    </row>
    <row r="86" spans="1:14" ht="18" customHeight="1" x14ac:dyDescent="0.35">
      <c r="A86"/>
      <c r="B86" s="17"/>
      <c r="C86" s="147" t="s">
        <v>99</v>
      </c>
      <c r="D86" s="58"/>
      <c r="E86" s="201"/>
      <c r="F86" s="202"/>
      <c r="G86" s="202"/>
      <c r="H86" s="202"/>
      <c r="I86" s="239"/>
      <c r="J86" s="238"/>
      <c r="K86" s="323"/>
      <c r="L86" s="37"/>
      <c r="M86" s="39"/>
      <c r="N86" s="37"/>
    </row>
    <row r="87" spans="1:14" ht="18" customHeight="1" x14ac:dyDescent="0.35">
      <c r="A87"/>
      <c r="B87" s="17"/>
      <c r="C87" s="73" t="s">
        <v>100</v>
      </c>
      <c r="D87" s="58"/>
      <c r="E87" s="201">
        <v>1</v>
      </c>
      <c r="F87" s="202"/>
      <c r="G87" s="202"/>
      <c r="H87" s="202"/>
      <c r="I87" s="239"/>
      <c r="J87" s="188">
        <v>1</v>
      </c>
      <c r="K87" s="323"/>
      <c r="L87" s="37"/>
      <c r="M87" s="39"/>
      <c r="N87" s="37"/>
    </row>
    <row r="88" spans="1:14" ht="18" customHeight="1" x14ac:dyDescent="0.35">
      <c r="A88"/>
      <c r="B88" s="17"/>
      <c r="C88" s="73" t="s">
        <v>101</v>
      </c>
      <c r="D88" s="58"/>
      <c r="E88" s="201">
        <v>1</v>
      </c>
      <c r="F88" s="202"/>
      <c r="G88" s="202"/>
      <c r="H88" s="202"/>
      <c r="I88" s="239"/>
      <c r="J88" s="188">
        <v>1</v>
      </c>
      <c r="K88" s="323"/>
      <c r="L88" s="37"/>
      <c r="M88" s="39"/>
      <c r="N88" s="37"/>
    </row>
    <row r="89" spans="1:14" ht="18" customHeight="1" x14ac:dyDescent="0.35">
      <c r="A89"/>
      <c r="B89" s="17"/>
      <c r="C89" s="73" t="s">
        <v>102</v>
      </c>
      <c r="D89" s="58"/>
      <c r="E89" s="201">
        <v>1</v>
      </c>
      <c r="F89" s="202"/>
      <c r="G89" s="202"/>
      <c r="H89" s="202"/>
      <c r="I89" s="239"/>
      <c r="J89" s="188">
        <v>1</v>
      </c>
      <c r="K89" s="323"/>
      <c r="L89" s="37"/>
      <c r="M89" s="39"/>
      <c r="N89" s="37"/>
    </row>
    <row r="90" spans="1:14" ht="18" customHeight="1" x14ac:dyDescent="0.35">
      <c r="A90"/>
      <c r="B90" s="17"/>
      <c r="C90" s="73" t="s">
        <v>103</v>
      </c>
      <c r="D90" s="58"/>
      <c r="E90" s="189">
        <v>1</v>
      </c>
      <c r="F90" s="202"/>
      <c r="G90" s="202"/>
      <c r="H90" s="202"/>
      <c r="I90" s="239"/>
      <c r="J90" s="238">
        <v>1</v>
      </c>
      <c r="K90" s="323"/>
      <c r="L90" s="37"/>
      <c r="M90" s="39"/>
      <c r="N90" s="37"/>
    </row>
    <row r="91" spans="1:14" ht="18" customHeight="1" x14ac:dyDescent="0.35">
      <c r="A91"/>
      <c r="B91" s="17"/>
      <c r="C91" s="148" t="s">
        <v>104</v>
      </c>
      <c r="D91" s="58"/>
      <c r="E91" s="201">
        <v>1</v>
      </c>
      <c r="F91" s="202"/>
      <c r="G91" s="202"/>
      <c r="H91" s="202"/>
      <c r="I91" s="239"/>
      <c r="J91" s="188">
        <v>1</v>
      </c>
      <c r="K91" s="323"/>
      <c r="L91" s="37"/>
      <c r="M91" s="39"/>
      <c r="N91" s="37"/>
    </row>
    <row r="92" spans="1:14" ht="18" customHeight="1" x14ac:dyDescent="0.35">
      <c r="A92"/>
      <c r="B92" s="17"/>
      <c r="C92" s="148" t="s">
        <v>105</v>
      </c>
      <c r="D92" s="58"/>
      <c r="E92" s="201">
        <v>1</v>
      </c>
      <c r="F92" s="202"/>
      <c r="G92" s="202"/>
      <c r="H92" s="202"/>
      <c r="I92" s="239"/>
      <c r="J92" s="188">
        <v>1</v>
      </c>
      <c r="K92" s="323"/>
      <c r="L92" s="37"/>
      <c r="M92" s="39"/>
      <c r="N92" s="37"/>
    </row>
    <row r="93" spans="1:14" ht="18" customHeight="1" x14ac:dyDescent="0.35">
      <c r="A93"/>
      <c r="B93" s="17"/>
      <c r="C93" s="148" t="s">
        <v>106</v>
      </c>
      <c r="D93" s="58"/>
      <c r="E93" s="201">
        <v>1</v>
      </c>
      <c r="F93" s="202"/>
      <c r="G93" s="202"/>
      <c r="H93" s="202"/>
      <c r="I93" s="239"/>
      <c r="J93" s="188">
        <v>1</v>
      </c>
      <c r="K93" s="323"/>
      <c r="L93" s="37"/>
      <c r="M93" s="39"/>
      <c r="N93" s="37"/>
    </row>
    <row r="94" spans="1:14" ht="18" customHeight="1" x14ac:dyDescent="0.35">
      <c r="A94"/>
      <c r="B94" s="17"/>
      <c r="C94" s="148" t="s">
        <v>107</v>
      </c>
      <c r="D94" s="58"/>
      <c r="E94" s="201">
        <v>1</v>
      </c>
      <c r="F94" s="202"/>
      <c r="G94" s="202"/>
      <c r="H94" s="202"/>
      <c r="I94" s="239"/>
      <c r="J94" s="188">
        <v>1</v>
      </c>
      <c r="K94" s="323"/>
      <c r="L94" s="37"/>
      <c r="M94" s="39"/>
      <c r="N94" s="37"/>
    </row>
    <row r="95" spans="1:14" ht="96.75" customHeight="1" x14ac:dyDescent="0.35">
      <c r="A95"/>
      <c r="B95" s="17"/>
      <c r="C95" s="73" t="s">
        <v>108</v>
      </c>
      <c r="D95" s="58"/>
      <c r="E95" s="201">
        <v>1</v>
      </c>
      <c r="F95" s="202"/>
      <c r="G95" s="202"/>
      <c r="H95" s="202"/>
      <c r="I95" s="239"/>
      <c r="J95" s="188">
        <v>1</v>
      </c>
      <c r="K95" s="324" t="s">
        <v>109</v>
      </c>
      <c r="L95" s="37"/>
      <c r="M95" s="39"/>
      <c r="N95" s="37"/>
    </row>
    <row r="96" spans="1:14" ht="33" customHeight="1" x14ac:dyDescent="0.35">
      <c r="A96"/>
      <c r="B96" s="17"/>
      <c r="C96" s="73" t="s">
        <v>110</v>
      </c>
      <c r="D96" s="58"/>
      <c r="E96" s="201">
        <v>1</v>
      </c>
      <c r="F96" s="202"/>
      <c r="G96" s="202"/>
      <c r="H96" s="202"/>
      <c r="I96" s="239"/>
      <c r="J96" s="188">
        <v>1</v>
      </c>
      <c r="K96" s="324" t="s">
        <v>111</v>
      </c>
      <c r="L96" s="37"/>
      <c r="M96" s="39"/>
      <c r="N96" s="37"/>
    </row>
    <row r="97" spans="1:14" ht="18" customHeight="1" x14ac:dyDescent="0.35">
      <c r="A97"/>
      <c r="B97" s="17"/>
      <c r="C97" s="73" t="s">
        <v>112</v>
      </c>
      <c r="D97" s="58"/>
      <c r="E97" s="201">
        <v>1</v>
      </c>
      <c r="F97" s="202"/>
      <c r="G97" s="202"/>
      <c r="H97" s="202"/>
      <c r="I97" s="239"/>
      <c r="J97" s="188">
        <v>1</v>
      </c>
      <c r="K97" s="323"/>
      <c r="L97" s="37"/>
      <c r="M97" s="39"/>
      <c r="N97" s="37"/>
    </row>
    <row r="98" spans="1:14" ht="18" customHeight="1" x14ac:dyDescent="0.35">
      <c r="A98"/>
      <c r="B98" s="17"/>
      <c r="C98" s="73" t="s">
        <v>113</v>
      </c>
      <c r="D98" s="58"/>
      <c r="E98" s="201">
        <v>1</v>
      </c>
      <c r="F98" s="202"/>
      <c r="G98" s="202"/>
      <c r="H98" s="202"/>
      <c r="I98" s="239"/>
      <c r="J98" s="188">
        <v>1</v>
      </c>
      <c r="K98" s="323"/>
      <c r="L98" s="37"/>
      <c r="M98" s="39"/>
      <c r="N98" s="37"/>
    </row>
    <row r="99" spans="1:14" ht="18" customHeight="1" x14ac:dyDescent="0.35">
      <c r="A99"/>
      <c r="B99" s="17"/>
      <c r="C99" s="73" t="s">
        <v>114</v>
      </c>
      <c r="D99" s="58"/>
      <c r="E99" s="201">
        <v>1</v>
      </c>
      <c r="F99" s="202"/>
      <c r="G99" s="202"/>
      <c r="H99" s="202"/>
      <c r="I99" s="239"/>
      <c r="J99" s="188">
        <v>1</v>
      </c>
      <c r="K99" s="323"/>
      <c r="L99" s="37"/>
      <c r="M99" s="39"/>
      <c r="N99" s="37"/>
    </row>
    <row r="100" spans="1:14" ht="31.5" customHeight="1" x14ac:dyDescent="0.35">
      <c r="A100"/>
      <c r="B100" s="17"/>
      <c r="C100" s="73" t="s">
        <v>115</v>
      </c>
      <c r="D100" s="58"/>
      <c r="E100" s="201">
        <v>1</v>
      </c>
      <c r="F100" s="202"/>
      <c r="G100" s="202"/>
      <c r="H100" s="202"/>
      <c r="I100" s="239"/>
      <c r="J100" s="188">
        <v>1</v>
      </c>
      <c r="K100" s="325"/>
      <c r="L100" s="37"/>
      <c r="M100" s="39"/>
      <c r="N100" s="37"/>
    </row>
    <row r="101" spans="1:14" ht="18" customHeight="1" x14ac:dyDescent="0.35">
      <c r="A101"/>
      <c r="B101" s="17"/>
      <c r="C101" s="73" t="s">
        <v>116</v>
      </c>
      <c r="D101" s="58"/>
      <c r="E101" s="189">
        <v>1</v>
      </c>
      <c r="F101" s="202"/>
      <c r="G101" s="202"/>
      <c r="H101" s="202"/>
      <c r="I101" s="239"/>
      <c r="J101" s="238">
        <v>1</v>
      </c>
      <c r="K101" s="323"/>
      <c r="L101" s="37"/>
      <c r="M101" s="39"/>
      <c r="N101" s="37"/>
    </row>
    <row r="102" spans="1:14" ht="18" customHeight="1" x14ac:dyDescent="0.35">
      <c r="A102"/>
      <c r="B102" s="17"/>
      <c r="C102" s="148" t="s">
        <v>117</v>
      </c>
      <c r="D102" s="58"/>
      <c r="E102" s="201">
        <v>1</v>
      </c>
      <c r="F102" s="202"/>
      <c r="G102" s="202"/>
      <c r="H102" s="202"/>
      <c r="I102" s="239"/>
      <c r="J102" s="188">
        <v>1</v>
      </c>
      <c r="K102" s="323"/>
      <c r="L102" s="37"/>
      <c r="M102" s="39"/>
      <c r="N102" s="37"/>
    </row>
    <row r="103" spans="1:14" ht="18" customHeight="1" x14ac:dyDescent="0.35">
      <c r="A103"/>
      <c r="B103" s="17"/>
      <c r="C103" s="148" t="s">
        <v>118</v>
      </c>
      <c r="D103" s="58"/>
      <c r="E103" s="201">
        <v>1</v>
      </c>
      <c r="F103" s="202"/>
      <c r="G103" s="202"/>
      <c r="H103" s="202"/>
      <c r="I103" s="239"/>
      <c r="J103" s="188">
        <v>1</v>
      </c>
      <c r="K103" s="323"/>
      <c r="L103" s="37"/>
      <c r="M103" s="39"/>
      <c r="N103" s="37"/>
    </row>
    <row r="104" spans="1:14" ht="18" customHeight="1" x14ac:dyDescent="0.35">
      <c r="A104"/>
      <c r="B104" s="17"/>
      <c r="C104" s="148" t="s">
        <v>119</v>
      </c>
      <c r="D104" s="58"/>
      <c r="E104" s="201">
        <v>1</v>
      </c>
      <c r="F104" s="202"/>
      <c r="G104" s="202"/>
      <c r="H104" s="202"/>
      <c r="I104" s="239"/>
      <c r="J104" s="188">
        <v>1</v>
      </c>
      <c r="K104" s="323"/>
      <c r="L104" s="37"/>
      <c r="M104" s="39"/>
      <c r="N104" s="37"/>
    </row>
    <row r="105" spans="1:14" ht="18" customHeight="1" x14ac:dyDescent="0.35">
      <c r="A105"/>
      <c r="B105" s="17"/>
      <c r="C105" s="148" t="s">
        <v>120</v>
      </c>
      <c r="D105" s="58"/>
      <c r="E105" s="201">
        <v>1</v>
      </c>
      <c r="F105" s="202"/>
      <c r="G105" s="202"/>
      <c r="H105" s="202"/>
      <c r="I105" s="239"/>
      <c r="J105" s="188">
        <v>1</v>
      </c>
      <c r="K105" s="323"/>
      <c r="L105" s="37"/>
      <c r="M105" s="39"/>
      <c r="N105" s="37"/>
    </row>
    <row r="106" spans="1:14" ht="18" customHeight="1" x14ac:dyDescent="0.35">
      <c r="A106"/>
      <c r="B106" s="17"/>
      <c r="C106" s="73" t="s">
        <v>121</v>
      </c>
      <c r="D106" s="58"/>
      <c r="E106" s="201">
        <v>1</v>
      </c>
      <c r="F106" s="202"/>
      <c r="G106" s="202"/>
      <c r="H106" s="202"/>
      <c r="I106" s="239"/>
      <c r="J106" s="188">
        <v>1</v>
      </c>
      <c r="K106" s="326"/>
      <c r="L106" s="37"/>
      <c r="M106" s="39"/>
      <c r="N106" s="37"/>
    </row>
    <row r="107" spans="1:14" ht="18" customHeight="1" x14ac:dyDescent="0.35">
      <c r="A107"/>
      <c r="B107" s="17"/>
      <c r="C107" s="73" t="s">
        <v>122</v>
      </c>
      <c r="D107" s="58"/>
      <c r="E107" s="201">
        <v>1</v>
      </c>
      <c r="F107" s="202"/>
      <c r="G107" s="202"/>
      <c r="H107" s="202"/>
      <c r="I107" s="239"/>
      <c r="J107" s="188">
        <v>1</v>
      </c>
      <c r="K107" s="326"/>
      <c r="L107" s="37"/>
      <c r="M107" s="39"/>
      <c r="N107" s="37"/>
    </row>
    <row r="108" spans="1:14" ht="18" customHeight="1" x14ac:dyDescent="0.35">
      <c r="A108"/>
      <c r="B108" s="17"/>
      <c r="C108" s="73" t="s">
        <v>123</v>
      </c>
      <c r="D108" s="58"/>
      <c r="E108" s="201">
        <v>1</v>
      </c>
      <c r="F108" s="202"/>
      <c r="G108" s="202"/>
      <c r="H108" s="202"/>
      <c r="I108" s="239"/>
      <c r="J108" s="188">
        <v>1</v>
      </c>
      <c r="K108" s="323"/>
      <c r="L108" s="37"/>
      <c r="M108" s="39"/>
      <c r="N108" s="37"/>
    </row>
    <row r="109" spans="1:14" ht="18" customHeight="1" x14ac:dyDescent="0.35">
      <c r="A109"/>
      <c r="B109" s="17"/>
      <c r="C109" s="73" t="s">
        <v>124</v>
      </c>
      <c r="D109" s="58"/>
      <c r="E109" s="201">
        <v>1</v>
      </c>
      <c r="F109" s="202"/>
      <c r="G109" s="202"/>
      <c r="H109" s="202"/>
      <c r="I109" s="239"/>
      <c r="J109" s="188">
        <v>1</v>
      </c>
      <c r="K109" s="323"/>
      <c r="L109" s="37"/>
      <c r="M109" s="39"/>
      <c r="N109" s="37"/>
    </row>
    <row r="110" spans="1:14" ht="123" customHeight="1" x14ac:dyDescent="0.35">
      <c r="A110"/>
      <c r="B110" s="17"/>
      <c r="C110" s="73" t="s">
        <v>125</v>
      </c>
      <c r="D110" s="58"/>
      <c r="E110" s="201">
        <v>1</v>
      </c>
      <c r="F110" s="202"/>
      <c r="G110" s="202"/>
      <c r="H110" s="202"/>
      <c r="I110" s="239"/>
      <c r="J110" s="188">
        <v>1</v>
      </c>
      <c r="K110" s="324" t="s">
        <v>126</v>
      </c>
      <c r="L110" s="37"/>
      <c r="M110" s="39"/>
      <c r="N110" s="37"/>
    </row>
    <row r="111" spans="1:14" ht="111.75" customHeight="1" x14ac:dyDescent="0.35">
      <c r="A111"/>
      <c r="B111" s="17"/>
      <c r="C111" s="73" t="s">
        <v>127</v>
      </c>
      <c r="D111" s="58"/>
      <c r="E111" s="201">
        <v>1</v>
      </c>
      <c r="F111" s="202"/>
      <c r="G111" s="202"/>
      <c r="H111" s="202"/>
      <c r="I111" s="239"/>
      <c r="J111" s="188">
        <v>1</v>
      </c>
      <c r="K111" s="324" t="s">
        <v>128</v>
      </c>
      <c r="L111" s="37"/>
      <c r="M111" s="39"/>
      <c r="N111" s="37"/>
    </row>
    <row r="112" spans="1:14" ht="18" customHeight="1" x14ac:dyDescent="0.35">
      <c r="A112"/>
      <c r="B112" s="17"/>
      <c r="C112" s="73" t="s">
        <v>129</v>
      </c>
      <c r="D112" s="58"/>
      <c r="E112" s="201">
        <v>1</v>
      </c>
      <c r="F112" s="202"/>
      <c r="G112" s="202"/>
      <c r="H112" s="202"/>
      <c r="I112" s="239"/>
      <c r="J112" s="188">
        <v>1</v>
      </c>
      <c r="K112" s="323"/>
      <c r="L112" s="37"/>
      <c r="M112" s="39"/>
      <c r="N112" s="37"/>
    </row>
    <row r="113" spans="1:14" ht="18" customHeight="1" x14ac:dyDescent="0.35">
      <c r="A113"/>
      <c r="B113" s="17"/>
      <c r="C113" s="73" t="s">
        <v>130</v>
      </c>
      <c r="D113" s="58"/>
      <c r="E113" s="201">
        <v>1</v>
      </c>
      <c r="F113" s="202"/>
      <c r="G113" s="202"/>
      <c r="H113" s="202"/>
      <c r="I113" s="239"/>
      <c r="J113" s="188">
        <v>1</v>
      </c>
      <c r="K113" s="323"/>
      <c r="L113" s="37"/>
      <c r="M113" s="39"/>
      <c r="N113" s="37"/>
    </row>
    <row r="114" spans="1:14" ht="18" customHeight="1" x14ac:dyDescent="0.35">
      <c r="A114"/>
      <c r="B114" s="17"/>
      <c r="C114" s="73" t="s">
        <v>131</v>
      </c>
      <c r="D114" s="58"/>
      <c r="E114" s="201"/>
      <c r="F114" s="202">
        <v>1</v>
      </c>
      <c r="G114" s="202"/>
      <c r="H114" s="202"/>
      <c r="I114" s="239"/>
      <c r="J114" s="188">
        <v>1</v>
      </c>
      <c r="K114" s="326"/>
      <c r="L114" s="37"/>
      <c r="M114" s="39"/>
      <c r="N114" s="37"/>
    </row>
    <row r="115" spans="1:14" ht="18" customHeight="1" x14ac:dyDescent="0.35">
      <c r="A115"/>
      <c r="B115" s="17"/>
      <c r="C115" s="73"/>
      <c r="D115" s="58"/>
      <c r="E115" s="201"/>
      <c r="F115" s="202"/>
      <c r="G115" s="202"/>
      <c r="H115" s="202"/>
      <c r="I115" s="239"/>
      <c r="J115" s="238"/>
      <c r="K115" s="323"/>
      <c r="L115" s="37"/>
      <c r="M115" s="39"/>
      <c r="N115" s="37"/>
    </row>
    <row r="116" spans="1:14" ht="18" customHeight="1" x14ac:dyDescent="0.35">
      <c r="A116"/>
      <c r="B116" s="17"/>
      <c r="C116" s="147" t="s">
        <v>132</v>
      </c>
      <c r="D116" s="58"/>
      <c r="E116" s="201"/>
      <c r="F116" s="202"/>
      <c r="G116" s="202"/>
      <c r="H116" s="202"/>
      <c r="I116" s="239"/>
      <c r="J116" s="238"/>
      <c r="K116" s="323"/>
      <c r="L116" s="37"/>
      <c r="M116" s="39"/>
      <c r="N116" s="37"/>
    </row>
    <row r="117" spans="1:14" ht="18" customHeight="1" x14ac:dyDescent="0.35">
      <c r="A117"/>
      <c r="B117" s="17"/>
      <c r="C117" s="73" t="s">
        <v>133</v>
      </c>
      <c r="D117" s="58"/>
      <c r="E117" s="201">
        <v>1</v>
      </c>
      <c r="F117" s="202"/>
      <c r="G117" s="202"/>
      <c r="H117" s="202"/>
      <c r="I117" s="239"/>
      <c r="J117" s="201">
        <v>1</v>
      </c>
      <c r="K117" s="323"/>
      <c r="L117" s="37"/>
      <c r="M117" s="39"/>
      <c r="N117" s="37"/>
    </row>
    <row r="118" spans="1:14" ht="33" customHeight="1" x14ac:dyDescent="0.35">
      <c r="A118"/>
      <c r="B118" s="17"/>
      <c r="C118" s="73" t="s">
        <v>134</v>
      </c>
      <c r="D118" s="58"/>
      <c r="E118" s="201">
        <v>1</v>
      </c>
      <c r="F118" s="202"/>
      <c r="G118" s="202"/>
      <c r="H118" s="202"/>
      <c r="I118" s="239"/>
      <c r="J118" s="201">
        <v>1</v>
      </c>
      <c r="K118" s="324" t="s">
        <v>135</v>
      </c>
      <c r="L118" s="37"/>
      <c r="M118" s="39"/>
      <c r="N118" s="37"/>
    </row>
    <row r="119" spans="1:14" ht="31" x14ac:dyDescent="0.35">
      <c r="A119"/>
      <c r="B119" s="17"/>
      <c r="C119" s="149" t="s">
        <v>136</v>
      </c>
      <c r="D119" s="58"/>
      <c r="E119" s="201"/>
      <c r="F119" s="202">
        <v>1</v>
      </c>
      <c r="G119" s="202"/>
      <c r="H119" s="202"/>
      <c r="I119" s="239"/>
      <c r="J119" s="201">
        <v>1</v>
      </c>
      <c r="K119" s="326"/>
      <c r="L119" s="37"/>
      <c r="M119" s="39"/>
      <c r="N119" s="37"/>
    </row>
    <row r="120" spans="1:14" ht="347.5" customHeight="1" x14ac:dyDescent="0.35">
      <c r="A120"/>
      <c r="B120" s="17"/>
      <c r="C120" s="73" t="s">
        <v>137</v>
      </c>
      <c r="D120" s="58"/>
      <c r="E120" s="201">
        <v>1</v>
      </c>
      <c r="F120" s="202"/>
      <c r="G120" s="202"/>
      <c r="H120" s="202"/>
      <c r="I120" s="239"/>
      <c r="J120" s="201">
        <v>1</v>
      </c>
      <c r="K120" s="324" t="s">
        <v>138</v>
      </c>
      <c r="L120" s="37"/>
      <c r="M120" s="39"/>
      <c r="N120" s="37"/>
    </row>
    <row r="121" spans="1:14" ht="18" customHeight="1" x14ac:dyDescent="0.35">
      <c r="A121"/>
      <c r="B121" s="17"/>
      <c r="C121" s="73"/>
      <c r="D121" s="58"/>
      <c r="E121" s="201"/>
      <c r="F121" s="202"/>
      <c r="G121" s="202"/>
      <c r="H121" s="202"/>
      <c r="I121" s="214"/>
      <c r="J121" s="214"/>
      <c r="K121" s="323"/>
      <c r="L121" s="37"/>
      <c r="M121" s="39"/>
      <c r="N121" s="37"/>
    </row>
    <row r="122" spans="1:14" ht="18" customHeight="1" x14ac:dyDescent="0.35">
      <c r="A122"/>
      <c r="B122" s="17"/>
      <c r="C122" s="147" t="s">
        <v>59</v>
      </c>
      <c r="D122" s="58"/>
      <c r="E122" s="201"/>
      <c r="F122" s="202"/>
      <c r="G122" s="202"/>
      <c r="H122" s="203"/>
      <c r="I122" s="247"/>
      <c r="J122" s="246"/>
      <c r="K122" s="327"/>
      <c r="L122" s="37"/>
      <c r="M122" s="39"/>
      <c r="N122" s="37"/>
    </row>
    <row r="123" spans="1:14" ht="18" customHeight="1" x14ac:dyDescent="0.35">
      <c r="A123"/>
      <c r="B123" s="17"/>
      <c r="C123" s="73" t="s">
        <v>139</v>
      </c>
      <c r="D123" s="58"/>
      <c r="E123" s="201">
        <v>1</v>
      </c>
      <c r="F123" s="202"/>
      <c r="G123" s="202"/>
      <c r="H123" s="203"/>
      <c r="I123" s="248"/>
      <c r="J123" s="243">
        <v>1</v>
      </c>
      <c r="K123" s="327"/>
      <c r="L123" s="37"/>
      <c r="M123" s="39"/>
      <c r="N123" s="37"/>
    </row>
    <row r="124" spans="1:14" ht="18" customHeight="1" x14ac:dyDescent="0.35">
      <c r="A124"/>
      <c r="B124" s="17"/>
      <c r="C124" s="73" t="s">
        <v>62</v>
      </c>
      <c r="D124" s="58"/>
      <c r="E124" s="201">
        <v>1</v>
      </c>
      <c r="F124" s="202"/>
      <c r="G124" s="202"/>
      <c r="H124" s="203"/>
      <c r="I124" s="248"/>
      <c r="J124" s="243">
        <v>1</v>
      </c>
      <c r="K124" s="327"/>
      <c r="L124" s="37"/>
      <c r="M124" s="39"/>
      <c r="N124" s="37"/>
    </row>
    <row r="125" spans="1:14" ht="18" customHeight="1" x14ac:dyDescent="0.35">
      <c r="A125"/>
      <c r="B125" s="17"/>
      <c r="C125" s="148" t="s">
        <v>63</v>
      </c>
      <c r="D125" s="58"/>
      <c r="E125" s="201">
        <v>1</v>
      </c>
      <c r="F125" s="202"/>
      <c r="G125" s="202"/>
      <c r="H125" s="203"/>
      <c r="I125" s="248"/>
      <c r="J125" s="243">
        <v>1</v>
      </c>
      <c r="K125" s="327"/>
      <c r="L125" s="37"/>
      <c r="M125" s="39"/>
      <c r="N125" s="37"/>
    </row>
    <row r="126" spans="1:14" ht="18" customHeight="1" x14ac:dyDescent="0.35">
      <c r="A126"/>
      <c r="B126" s="17"/>
      <c r="C126" s="148" t="s">
        <v>64</v>
      </c>
      <c r="D126" s="58"/>
      <c r="E126" s="201">
        <v>1</v>
      </c>
      <c r="F126" s="202"/>
      <c r="G126" s="202"/>
      <c r="H126" s="203"/>
      <c r="I126" s="248"/>
      <c r="J126" s="243">
        <v>1</v>
      </c>
      <c r="K126" s="327"/>
      <c r="L126" s="37"/>
      <c r="M126" s="39"/>
      <c r="N126" s="37"/>
    </row>
    <row r="127" spans="1:14" ht="18" customHeight="1" x14ac:dyDescent="0.35">
      <c r="A127"/>
      <c r="B127" s="17"/>
      <c r="C127" s="148" t="s">
        <v>65</v>
      </c>
      <c r="D127" s="58"/>
      <c r="E127" s="201">
        <v>1</v>
      </c>
      <c r="F127" s="202"/>
      <c r="G127" s="202"/>
      <c r="H127" s="203"/>
      <c r="I127" s="248"/>
      <c r="J127" s="243">
        <v>1</v>
      </c>
      <c r="K127" s="327"/>
      <c r="L127" s="37"/>
      <c r="M127" s="39"/>
      <c r="N127" s="37"/>
    </row>
    <row r="128" spans="1:14" ht="18" customHeight="1" x14ac:dyDescent="0.35">
      <c r="A128"/>
      <c r="B128" s="17"/>
      <c r="C128" s="148" t="s">
        <v>66</v>
      </c>
      <c r="D128" s="58"/>
      <c r="E128" s="201">
        <v>1</v>
      </c>
      <c r="F128" s="202"/>
      <c r="G128" s="202"/>
      <c r="H128" s="203"/>
      <c r="I128" s="248"/>
      <c r="J128" s="243">
        <v>1</v>
      </c>
      <c r="K128" s="327"/>
      <c r="L128" s="37"/>
      <c r="M128" s="39"/>
      <c r="N128" s="37"/>
    </row>
    <row r="129" spans="1:14" ht="18" customHeight="1" x14ac:dyDescent="0.35">
      <c r="A129"/>
      <c r="B129" s="17"/>
      <c r="C129" s="148" t="s">
        <v>67</v>
      </c>
      <c r="D129" s="58"/>
      <c r="E129" s="201"/>
      <c r="F129" s="202">
        <v>1</v>
      </c>
      <c r="G129" s="202"/>
      <c r="H129" s="203"/>
      <c r="I129" s="248"/>
      <c r="J129" s="243">
        <v>1</v>
      </c>
      <c r="K129" s="328" t="s">
        <v>140</v>
      </c>
      <c r="L129" s="37"/>
      <c r="M129" s="39"/>
      <c r="N129" s="37"/>
    </row>
    <row r="130" spans="1:14" ht="18" customHeight="1" x14ac:dyDescent="0.35">
      <c r="A130"/>
      <c r="B130" s="17"/>
      <c r="C130" s="73" t="s">
        <v>141</v>
      </c>
      <c r="D130" s="58"/>
      <c r="E130" s="201"/>
      <c r="F130" s="202"/>
      <c r="G130" s="202"/>
      <c r="H130" s="203"/>
      <c r="I130" s="248">
        <v>1</v>
      </c>
      <c r="J130" s="243"/>
      <c r="K130" s="328" t="s">
        <v>142</v>
      </c>
      <c r="L130" s="37"/>
      <c r="M130" s="39"/>
      <c r="N130" s="37"/>
    </row>
    <row r="131" spans="1:14" ht="18" customHeight="1" x14ac:dyDescent="0.35">
      <c r="A131"/>
      <c r="B131" s="17"/>
      <c r="C131" s="73" t="s">
        <v>143</v>
      </c>
      <c r="D131" s="58"/>
      <c r="E131" s="201"/>
      <c r="F131" s="202">
        <v>1</v>
      </c>
      <c r="G131" s="202"/>
      <c r="H131" s="203"/>
      <c r="I131" s="249"/>
      <c r="J131" s="245">
        <v>1</v>
      </c>
      <c r="K131" s="328"/>
      <c r="L131" s="37"/>
      <c r="M131" s="39"/>
      <c r="N131" s="37"/>
    </row>
    <row r="132" spans="1:14" ht="18" customHeight="1" x14ac:dyDescent="0.35">
      <c r="A132"/>
      <c r="B132" s="17"/>
      <c r="C132" s="73" t="s">
        <v>144</v>
      </c>
      <c r="D132" s="58"/>
      <c r="E132" s="201"/>
      <c r="F132" s="202">
        <v>1</v>
      </c>
      <c r="G132" s="202"/>
      <c r="H132" s="202"/>
      <c r="I132" s="250"/>
      <c r="J132" s="241">
        <v>1</v>
      </c>
      <c r="K132" s="326"/>
      <c r="L132" s="37"/>
      <c r="M132" s="39"/>
      <c r="N132" s="37"/>
    </row>
    <row r="133" spans="1:14" ht="18" customHeight="1" x14ac:dyDescent="0.35">
      <c r="A133"/>
      <c r="B133" s="17"/>
      <c r="C133" s="73" t="s">
        <v>145</v>
      </c>
      <c r="D133" s="58"/>
      <c r="E133" s="201">
        <v>1</v>
      </c>
      <c r="F133" s="202"/>
      <c r="G133" s="202"/>
      <c r="H133" s="202"/>
      <c r="I133" s="251"/>
      <c r="J133" s="201">
        <v>1</v>
      </c>
      <c r="K133" s="326"/>
      <c r="L133" s="37"/>
      <c r="M133" s="39"/>
      <c r="N133" s="37"/>
    </row>
    <row r="134" spans="1:14" ht="126.75" customHeight="1" x14ac:dyDescent="0.35">
      <c r="A134"/>
      <c r="B134" s="17"/>
      <c r="C134" s="73" t="s">
        <v>146</v>
      </c>
      <c r="D134" s="58"/>
      <c r="E134" s="189"/>
      <c r="F134" s="190"/>
      <c r="G134" s="190"/>
      <c r="H134" s="397"/>
      <c r="I134" s="247">
        <v>1</v>
      </c>
      <c r="J134" s="201"/>
      <c r="K134" s="324" t="s">
        <v>147</v>
      </c>
      <c r="L134" s="37"/>
      <c r="M134" s="39"/>
      <c r="N134" s="37"/>
    </row>
    <row r="135" spans="1:14" ht="18" customHeight="1" x14ac:dyDescent="0.35">
      <c r="A135"/>
      <c r="B135" s="17"/>
      <c r="C135" s="73" t="s">
        <v>148</v>
      </c>
      <c r="D135" s="58"/>
      <c r="E135" s="201">
        <v>1</v>
      </c>
      <c r="F135" s="202"/>
      <c r="G135" s="202"/>
      <c r="H135" s="203"/>
      <c r="I135" s="248"/>
      <c r="J135" s="201">
        <v>1</v>
      </c>
      <c r="K135" s="323"/>
      <c r="L135" s="37"/>
      <c r="M135" s="39"/>
      <c r="N135" s="37"/>
    </row>
    <row r="136" spans="1:14" ht="18" customHeight="1" x14ac:dyDescent="0.35">
      <c r="A136"/>
      <c r="B136" s="17"/>
      <c r="C136" s="73" t="s">
        <v>149</v>
      </c>
      <c r="D136" s="58"/>
      <c r="E136" s="201">
        <v>1</v>
      </c>
      <c r="F136" s="202"/>
      <c r="G136" s="202"/>
      <c r="H136" s="203"/>
      <c r="I136" s="248"/>
      <c r="J136" s="201">
        <v>1</v>
      </c>
      <c r="K136" s="323"/>
      <c r="L136" s="37"/>
      <c r="M136" s="39"/>
      <c r="N136" s="37"/>
    </row>
    <row r="137" spans="1:14" ht="31" x14ac:dyDescent="0.35">
      <c r="A137"/>
      <c r="B137" s="17"/>
      <c r="C137" s="149" t="s">
        <v>86</v>
      </c>
      <c r="D137" s="58"/>
      <c r="E137" s="201"/>
      <c r="F137" s="202">
        <v>1</v>
      </c>
      <c r="G137" s="202"/>
      <c r="H137" s="203"/>
      <c r="I137" s="248"/>
      <c r="J137" s="201">
        <v>1</v>
      </c>
      <c r="K137" s="323"/>
      <c r="L137" s="37"/>
      <c r="M137" s="39"/>
      <c r="N137" s="37"/>
    </row>
    <row r="138" spans="1:14" ht="18" customHeight="1" x14ac:dyDescent="0.35">
      <c r="A138"/>
      <c r="B138" s="17"/>
      <c r="C138" s="73" t="s">
        <v>150</v>
      </c>
      <c r="D138" s="58"/>
      <c r="E138" s="201">
        <v>1</v>
      </c>
      <c r="F138" s="202"/>
      <c r="G138" s="202"/>
      <c r="H138" s="203"/>
      <c r="I138" s="248"/>
      <c r="J138" s="201">
        <v>1</v>
      </c>
      <c r="K138" s="323"/>
      <c r="L138" s="37"/>
      <c r="M138" s="39"/>
      <c r="N138" s="37"/>
    </row>
    <row r="139" spans="1:14" ht="18" customHeight="1" x14ac:dyDescent="0.35">
      <c r="A139"/>
      <c r="B139" s="17"/>
      <c r="C139" s="73" t="s">
        <v>151</v>
      </c>
      <c r="D139" s="58"/>
      <c r="E139" s="201">
        <v>1</v>
      </c>
      <c r="F139" s="202"/>
      <c r="G139" s="202"/>
      <c r="H139" s="203"/>
      <c r="I139" s="248"/>
      <c r="J139" s="201">
        <v>1</v>
      </c>
      <c r="K139" s="323"/>
      <c r="L139" s="37"/>
      <c r="M139" s="39"/>
      <c r="N139" s="37"/>
    </row>
    <row r="140" spans="1:14" ht="18" customHeight="1" x14ac:dyDescent="0.35">
      <c r="A140"/>
      <c r="B140" s="17"/>
      <c r="C140" s="73" t="s">
        <v>152</v>
      </c>
      <c r="D140" s="58"/>
      <c r="E140" s="201">
        <v>1</v>
      </c>
      <c r="F140" s="202"/>
      <c r="G140" s="202"/>
      <c r="H140" s="203"/>
      <c r="I140" s="248"/>
      <c r="J140" s="201">
        <v>1</v>
      </c>
      <c r="K140" s="323"/>
      <c r="L140" s="37"/>
      <c r="M140" s="39"/>
      <c r="N140" s="37"/>
    </row>
    <row r="141" spans="1:14" ht="18" customHeight="1" x14ac:dyDescent="0.35">
      <c r="A141"/>
      <c r="B141" s="17"/>
      <c r="C141" s="73" t="s">
        <v>153</v>
      </c>
      <c r="D141" s="58"/>
      <c r="E141" s="201">
        <v>1</v>
      </c>
      <c r="F141" s="202"/>
      <c r="G141" s="202"/>
      <c r="H141" s="203"/>
      <c r="I141" s="248"/>
      <c r="J141" s="201">
        <v>1</v>
      </c>
      <c r="K141" s="323"/>
      <c r="L141" s="37"/>
      <c r="M141" s="39"/>
      <c r="N141" s="37"/>
    </row>
    <row r="142" spans="1:14" ht="18" customHeight="1" x14ac:dyDescent="0.35">
      <c r="A142"/>
      <c r="B142" s="17"/>
      <c r="C142" s="73" t="s">
        <v>154</v>
      </c>
      <c r="D142" s="58"/>
      <c r="E142" s="201">
        <v>1</v>
      </c>
      <c r="F142" s="202"/>
      <c r="G142" s="202"/>
      <c r="H142" s="203"/>
      <c r="I142" s="248"/>
      <c r="J142" s="201">
        <v>1</v>
      </c>
      <c r="K142" s="323"/>
      <c r="L142" s="37"/>
      <c r="M142" s="39"/>
      <c r="N142" s="37"/>
    </row>
    <row r="143" spans="1:14" ht="18" customHeight="1" x14ac:dyDescent="0.35">
      <c r="A143"/>
      <c r="B143" s="17"/>
      <c r="C143" s="73" t="s">
        <v>155</v>
      </c>
      <c r="D143" s="58"/>
      <c r="E143" s="201">
        <v>1</v>
      </c>
      <c r="F143" s="202"/>
      <c r="G143" s="202"/>
      <c r="H143" s="203"/>
      <c r="I143" s="248"/>
      <c r="J143" s="201">
        <v>1</v>
      </c>
      <c r="K143" s="323"/>
      <c r="L143" s="37"/>
      <c r="M143" s="39"/>
      <c r="N143" s="37"/>
    </row>
    <row r="144" spans="1:14" ht="18" customHeight="1" x14ac:dyDescent="0.35">
      <c r="A144"/>
      <c r="B144" s="17"/>
      <c r="C144" s="73" t="s">
        <v>156</v>
      </c>
      <c r="D144" s="58"/>
      <c r="E144" s="201">
        <v>1</v>
      </c>
      <c r="F144" s="202"/>
      <c r="G144" s="202"/>
      <c r="H144" s="203"/>
      <c r="I144" s="248"/>
      <c r="J144" s="201">
        <v>1</v>
      </c>
      <c r="K144" s="323"/>
      <c r="L144" s="37"/>
      <c r="M144" s="39"/>
      <c r="N144" s="37"/>
    </row>
    <row r="145" spans="1:14" ht="18" customHeight="1" x14ac:dyDescent="0.35">
      <c r="A145"/>
      <c r="B145" s="17"/>
      <c r="C145" s="73" t="s">
        <v>157</v>
      </c>
      <c r="D145" s="58"/>
      <c r="E145" s="201">
        <v>1</v>
      </c>
      <c r="F145" s="202"/>
      <c r="G145" s="202"/>
      <c r="H145" s="203"/>
      <c r="I145" s="249"/>
      <c r="J145" s="201">
        <v>1</v>
      </c>
      <c r="K145" s="323"/>
      <c r="L145" s="37"/>
      <c r="M145" s="39"/>
      <c r="N145" s="37"/>
    </row>
    <row r="146" spans="1:14" ht="18" customHeight="1" x14ac:dyDescent="0.35">
      <c r="A146"/>
      <c r="B146" s="17"/>
      <c r="C146" s="73" t="s">
        <v>158</v>
      </c>
      <c r="D146" s="58"/>
      <c r="E146" s="201">
        <v>1</v>
      </c>
      <c r="F146" s="202"/>
      <c r="G146" s="202"/>
      <c r="H146" s="202"/>
      <c r="I146" s="250"/>
      <c r="J146" s="201">
        <v>1</v>
      </c>
      <c r="K146" s="323"/>
      <c r="L146" s="37"/>
      <c r="M146" s="39"/>
      <c r="N146" s="37"/>
    </row>
    <row r="147" spans="1:14" ht="18" customHeight="1" x14ac:dyDescent="0.35">
      <c r="A147"/>
      <c r="B147" s="17"/>
      <c r="C147" s="73" t="s">
        <v>159</v>
      </c>
      <c r="D147" s="58"/>
      <c r="E147" s="201">
        <v>1</v>
      </c>
      <c r="F147" s="202"/>
      <c r="G147" s="202"/>
      <c r="H147" s="202"/>
      <c r="I147" s="239"/>
      <c r="J147" s="201">
        <v>1</v>
      </c>
      <c r="K147" s="323"/>
      <c r="L147" s="37"/>
      <c r="M147" s="39"/>
      <c r="N147" s="37"/>
    </row>
    <row r="148" spans="1:14" ht="18" customHeight="1" x14ac:dyDescent="0.35">
      <c r="A148"/>
      <c r="B148" s="17"/>
      <c r="C148" s="73" t="s">
        <v>160</v>
      </c>
      <c r="D148" s="58"/>
      <c r="E148" s="201">
        <v>1</v>
      </c>
      <c r="F148" s="202"/>
      <c r="G148" s="202"/>
      <c r="H148" s="202"/>
      <c r="I148" s="239"/>
      <c r="J148" s="201">
        <v>1</v>
      </c>
      <c r="K148" s="323"/>
      <c r="L148" s="37"/>
      <c r="M148" s="39"/>
      <c r="N148" s="37"/>
    </row>
    <row r="149" spans="1:14" ht="18" customHeight="1" x14ac:dyDescent="0.35">
      <c r="A149"/>
      <c r="B149" s="17"/>
      <c r="C149" s="73" t="s">
        <v>161</v>
      </c>
      <c r="D149" s="58"/>
      <c r="E149" s="201"/>
      <c r="F149" s="202"/>
      <c r="G149" s="202"/>
      <c r="H149" s="202"/>
      <c r="I149" s="239"/>
      <c r="J149" s="201">
        <v>1</v>
      </c>
      <c r="K149" s="323"/>
      <c r="L149" s="37"/>
      <c r="M149" s="39"/>
      <c r="N149" s="37"/>
    </row>
    <row r="150" spans="1:14" ht="18" customHeight="1" x14ac:dyDescent="0.35">
      <c r="A150"/>
      <c r="B150" s="17"/>
      <c r="C150" s="148" t="s">
        <v>162</v>
      </c>
      <c r="D150" s="58"/>
      <c r="E150" s="201">
        <v>1</v>
      </c>
      <c r="F150" s="202"/>
      <c r="G150" s="202"/>
      <c r="H150" s="202"/>
      <c r="I150" s="239"/>
      <c r="J150" s="201">
        <v>1</v>
      </c>
      <c r="K150" s="323"/>
      <c r="L150" s="37"/>
      <c r="M150" s="39"/>
      <c r="N150" s="37"/>
    </row>
    <row r="151" spans="1:14" ht="18" customHeight="1" x14ac:dyDescent="0.35">
      <c r="A151"/>
      <c r="B151" s="17"/>
      <c r="C151" s="148" t="s">
        <v>163</v>
      </c>
      <c r="D151" s="58"/>
      <c r="E151" s="201">
        <v>1</v>
      </c>
      <c r="F151" s="202"/>
      <c r="G151" s="202"/>
      <c r="H151" s="202"/>
      <c r="I151" s="239"/>
      <c r="J151" s="201">
        <v>1</v>
      </c>
      <c r="K151" s="323"/>
      <c r="L151" s="37"/>
      <c r="M151" s="39"/>
      <c r="N151" s="37"/>
    </row>
    <row r="152" spans="1:14" ht="18" customHeight="1" x14ac:dyDescent="0.35">
      <c r="A152"/>
      <c r="B152" s="17"/>
      <c r="C152" s="148" t="s">
        <v>164</v>
      </c>
      <c r="D152" s="58"/>
      <c r="E152" s="201">
        <v>1</v>
      </c>
      <c r="F152" s="202"/>
      <c r="G152" s="202"/>
      <c r="H152" s="202"/>
      <c r="I152" s="239"/>
      <c r="J152" s="201">
        <v>1</v>
      </c>
      <c r="K152" s="323"/>
      <c r="L152" s="37"/>
      <c r="M152" s="39"/>
      <c r="N152" s="37"/>
    </row>
    <row r="153" spans="1:14" ht="18" customHeight="1" x14ac:dyDescent="0.35">
      <c r="A153"/>
      <c r="B153" s="17"/>
      <c r="C153" s="148" t="s">
        <v>165</v>
      </c>
      <c r="D153" s="58"/>
      <c r="E153" s="201"/>
      <c r="F153" s="202">
        <v>1</v>
      </c>
      <c r="G153" s="202"/>
      <c r="H153" s="202"/>
      <c r="I153" s="239"/>
      <c r="J153" s="201">
        <v>1</v>
      </c>
      <c r="K153" s="326" t="s">
        <v>140</v>
      </c>
      <c r="L153" s="37"/>
      <c r="M153" s="39"/>
      <c r="N153" s="37"/>
    </row>
    <row r="154" spans="1:14" ht="18" customHeight="1" x14ac:dyDescent="0.35">
      <c r="A154"/>
      <c r="B154" s="17"/>
      <c r="C154" s="73"/>
      <c r="D154" s="58"/>
      <c r="E154" s="201"/>
      <c r="F154" s="202"/>
      <c r="G154" s="202"/>
      <c r="H154" s="202"/>
      <c r="I154" s="239"/>
      <c r="J154" s="201">
        <v>1</v>
      </c>
      <c r="K154" s="326"/>
      <c r="L154" s="37"/>
      <c r="M154" s="39"/>
      <c r="N154" s="37"/>
    </row>
    <row r="155" spans="1:14" ht="18" customHeight="1" x14ac:dyDescent="0.35">
      <c r="A155"/>
      <c r="B155" s="17"/>
      <c r="C155" s="147" t="s">
        <v>166</v>
      </c>
      <c r="D155" s="58"/>
      <c r="E155" s="201"/>
      <c r="F155" s="202"/>
      <c r="G155" s="202"/>
      <c r="H155" s="202"/>
      <c r="I155" s="239"/>
      <c r="J155" s="201">
        <v>1</v>
      </c>
      <c r="K155" s="326"/>
      <c r="L155" s="37"/>
      <c r="M155" s="39"/>
      <c r="N155" s="37"/>
    </row>
    <row r="156" spans="1:14" ht="18" customHeight="1" x14ac:dyDescent="0.35">
      <c r="A156"/>
      <c r="B156" s="17"/>
      <c r="C156" s="73" t="s">
        <v>60</v>
      </c>
      <c r="D156" s="58"/>
      <c r="E156" s="201">
        <v>1</v>
      </c>
      <c r="F156" s="202"/>
      <c r="G156" s="202"/>
      <c r="H156" s="202"/>
      <c r="I156" s="239"/>
      <c r="J156" s="201">
        <v>1</v>
      </c>
      <c r="K156" s="326"/>
      <c r="L156" s="37"/>
      <c r="M156" s="39"/>
      <c r="N156" s="37"/>
    </row>
    <row r="157" spans="1:14" ht="18" customHeight="1" x14ac:dyDescent="0.35">
      <c r="A157"/>
      <c r="B157" s="17"/>
      <c r="C157" s="73" t="s">
        <v>167</v>
      </c>
      <c r="D157" s="58"/>
      <c r="E157" s="201"/>
      <c r="F157" s="202">
        <v>1</v>
      </c>
      <c r="G157" s="202"/>
      <c r="H157" s="202"/>
      <c r="I157" s="239"/>
      <c r="J157" s="201">
        <v>1</v>
      </c>
      <c r="K157" s="326"/>
      <c r="L157" s="37"/>
      <c r="M157" s="39"/>
      <c r="N157" s="37"/>
    </row>
    <row r="158" spans="1:14" ht="18" customHeight="1" x14ac:dyDescent="0.35">
      <c r="A158"/>
      <c r="B158" s="17"/>
      <c r="C158" s="73" t="s">
        <v>168</v>
      </c>
      <c r="D158" s="58"/>
      <c r="E158" s="201">
        <v>1</v>
      </c>
      <c r="F158" s="202"/>
      <c r="G158" s="202"/>
      <c r="H158" s="202"/>
      <c r="I158" s="239"/>
      <c r="J158" s="201">
        <v>1</v>
      </c>
      <c r="K158" s="326"/>
      <c r="L158" s="37"/>
      <c r="M158" s="39"/>
      <c r="N158" s="37"/>
    </row>
    <row r="159" spans="1:14" ht="15.5" x14ac:dyDescent="0.35">
      <c r="A159"/>
      <c r="B159" s="17"/>
      <c r="C159" s="149" t="s">
        <v>169</v>
      </c>
      <c r="D159" s="58"/>
      <c r="E159" s="201">
        <v>1</v>
      </c>
      <c r="F159" s="202"/>
      <c r="G159" s="202"/>
      <c r="H159" s="202"/>
      <c r="I159" s="239"/>
      <c r="J159" s="201">
        <v>1</v>
      </c>
      <c r="K159" s="326"/>
      <c r="L159" s="37"/>
      <c r="M159" s="39"/>
      <c r="N159" s="37"/>
    </row>
    <row r="160" spans="1:14" ht="18" customHeight="1" x14ac:dyDescent="0.35">
      <c r="A160"/>
      <c r="B160" s="17"/>
      <c r="C160" s="73" t="s">
        <v>170</v>
      </c>
      <c r="D160" s="58"/>
      <c r="E160" s="201">
        <v>1</v>
      </c>
      <c r="F160" s="202"/>
      <c r="G160" s="202"/>
      <c r="H160" s="202"/>
      <c r="I160" s="239"/>
      <c r="J160" s="201">
        <v>1</v>
      </c>
      <c r="K160" s="326"/>
      <c r="L160" s="37"/>
      <c r="M160" s="39"/>
      <c r="N160" s="37"/>
    </row>
    <row r="161" spans="1:14" ht="15.5" x14ac:dyDescent="0.35">
      <c r="A161"/>
      <c r="B161" s="17"/>
      <c r="C161" s="73" t="s">
        <v>78</v>
      </c>
      <c r="D161" s="58"/>
      <c r="E161" s="201"/>
      <c r="F161" s="202">
        <v>1</v>
      </c>
      <c r="G161" s="202"/>
      <c r="H161" s="202"/>
      <c r="I161" s="239"/>
      <c r="J161" s="201">
        <v>1</v>
      </c>
      <c r="K161" s="326"/>
      <c r="L161" s="37"/>
      <c r="M161" s="39"/>
      <c r="N161" s="37"/>
    </row>
    <row r="162" spans="1:14" ht="18" customHeight="1" x14ac:dyDescent="0.35">
      <c r="A162"/>
      <c r="B162" s="17"/>
      <c r="C162" s="73" t="s">
        <v>171</v>
      </c>
      <c r="D162" s="58"/>
      <c r="E162" s="201">
        <v>1</v>
      </c>
      <c r="F162" s="202"/>
      <c r="G162" s="202"/>
      <c r="H162" s="202"/>
      <c r="I162" s="239"/>
      <c r="J162" s="201">
        <v>1</v>
      </c>
      <c r="K162" s="326"/>
      <c r="L162" s="37"/>
      <c r="M162" s="39"/>
      <c r="N162" s="37"/>
    </row>
    <row r="163" spans="1:14" ht="18" customHeight="1" x14ac:dyDescent="0.35">
      <c r="A163"/>
      <c r="B163" s="17"/>
      <c r="C163" s="73" t="s">
        <v>172</v>
      </c>
      <c r="D163" s="58"/>
      <c r="E163" s="201">
        <v>1</v>
      </c>
      <c r="F163" s="202"/>
      <c r="G163" s="202"/>
      <c r="H163" s="202"/>
      <c r="I163" s="239"/>
      <c r="J163" s="201">
        <v>1</v>
      </c>
      <c r="K163" s="326"/>
      <c r="L163" s="37"/>
      <c r="M163" s="39"/>
      <c r="N163" s="37"/>
    </row>
    <row r="164" spans="1:14" ht="152.25" customHeight="1" x14ac:dyDescent="0.35">
      <c r="A164"/>
      <c r="B164" s="17"/>
      <c r="C164" s="73" t="s">
        <v>173</v>
      </c>
      <c r="D164" s="58"/>
      <c r="E164" s="201"/>
      <c r="F164" s="202">
        <v>1</v>
      </c>
      <c r="G164" s="202"/>
      <c r="H164" s="202"/>
      <c r="I164" s="239"/>
      <c r="J164" s="201"/>
      <c r="K164" s="324" t="s">
        <v>174</v>
      </c>
      <c r="L164" s="37"/>
      <c r="M164" s="39"/>
      <c r="N164" s="37"/>
    </row>
    <row r="165" spans="1:14" ht="18" customHeight="1" x14ac:dyDescent="0.35">
      <c r="A165"/>
      <c r="B165" s="17"/>
      <c r="C165" s="73" t="s">
        <v>85</v>
      </c>
      <c r="D165" s="58"/>
      <c r="E165" s="201">
        <v>1</v>
      </c>
      <c r="F165" s="202"/>
      <c r="G165" s="202"/>
      <c r="H165" s="202"/>
      <c r="I165" s="239"/>
      <c r="J165" s="201">
        <v>1</v>
      </c>
      <c r="K165" s="323"/>
      <c r="L165" s="37"/>
      <c r="M165" s="39"/>
      <c r="N165" s="37"/>
    </row>
    <row r="166" spans="1:14" ht="18" customHeight="1" x14ac:dyDescent="0.35">
      <c r="A166"/>
      <c r="B166" s="17"/>
      <c r="C166" s="73" t="s">
        <v>175</v>
      </c>
      <c r="D166" s="58"/>
      <c r="E166" s="201">
        <v>1</v>
      </c>
      <c r="F166" s="202"/>
      <c r="G166" s="202"/>
      <c r="H166" s="202"/>
      <c r="I166" s="239"/>
      <c r="J166" s="201">
        <v>1</v>
      </c>
      <c r="K166" s="323"/>
      <c r="L166" s="37"/>
      <c r="M166" s="39"/>
      <c r="N166" s="37"/>
    </row>
    <row r="167" spans="1:14" ht="18" customHeight="1" x14ac:dyDescent="0.35">
      <c r="A167"/>
      <c r="B167" s="17"/>
      <c r="C167" s="73" t="s">
        <v>176</v>
      </c>
      <c r="D167" s="58"/>
      <c r="E167" s="201">
        <v>1</v>
      </c>
      <c r="F167" s="202"/>
      <c r="G167" s="202"/>
      <c r="H167" s="202"/>
      <c r="I167" s="239"/>
      <c r="J167" s="201">
        <v>1</v>
      </c>
      <c r="K167" s="323"/>
      <c r="L167" s="37"/>
      <c r="M167" s="39"/>
      <c r="N167" s="37"/>
    </row>
    <row r="168" spans="1:14" ht="18" customHeight="1" x14ac:dyDescent="0.35">
      <c r="A168"/>
      <c r="B168" s="17"/>
      <c r="C168" s="73" t="s">
        <v>177</v>
      </c>
      <c r="D168" s="58"/>
      <c r="E168" s="201">
        <v>1</v>
      </c>
      <c r="F168" s="202"/>
      <c r="G168" s="202"/>
      <c r="H168" s="202"/>
      <c r="I168" s="239"/>
      <c r="J168" s="201">
        <v>1</v>
      </c>
      <c r="K168" s="323"/>
      <c r="L168" s="37"/>
      <c r="M168" s="39"/>
      <c r="N168" s="37"/>
    </row>
    <row r="169" spans="1:14" ht="18" customHeight="1" x14ac:dyDescent="0.35">
      <c r="A169"/>
      <c r="B169" s="17"/>
      <c r="C169" s="73" t="s">
        <v>178</v>
      </c>
      <c r="D169" s="58"/>
      <c r="E169" s="201">
        <v>1</v>
      </c>
      <c r="F169" s="202"/>
      <c r="G169" s="202"/>
      <c r="H169" s="202"/>
      <c r="I169" s="239"/>
      <c r="J169" s="201">
        <v>1</v>
      </c>
      <c r="K169" s="323"/>
      <c r="L169" s="37"/>
      <c r="M169" s="39"/>
      <c r="N169" s="37"/>
    </row>
    <row r="170" spans="1:14" ht="18" customHeight="1" thickBot="1" x14ac:dyDescent="0.4">
      <c r="A170"/>
      <c r="B170" s="17"/>
      <c r="C170" s="46"/>
      <c r="D170" s="58"/>
      <c r="E170" s="204"/>
      <c r="F170" s="205"/>
      <c r="G170" s="205"/>
      <c r="H170" s="205"/>
      <c r="I170" s="206"/>
      <c r="J170" s="206"/>
      <c r="K170" s="329"/>
      <c r="L170" s="37"/>
      <c r="M170" s="39"/>
      <c r="N170" s="37"/>
    </row>
    <row r="171" spans="1:14" ht="20.149999999999999" customHeight="1" x14ac:dyDescent="0.35">
      <c r="A171"/>
      <c r="B171" s="17"/>
      <c r="C171" s="28"/>
      <c r="D171" s="133"/>
      <c r="E171" s="195">
        <f t="shared" ref="E171:J171" si="1">SUM(E86:E170)</f>
        <v>64</v>
      </c>
      <c r="F171" s="195">
        <f t="shared" si="1"/>
        <v>10</v>
      </c>
      <c r="G171" s="195">
        <f t="shared" si="1"/>
        <v>0</v>
      </c>
      <c r="H171" s="195">
        <f t="shared" si="1"/>
        <v>0</v>
      </c>
      <c r="I171" s="195">
        <f t="shared" si="1"/>
        <v>2</v>
      </c>
      <c r="J171" s="195">
        <f t="shared" si="1"/>
        <v>76</v>
      </c>
      <c r="K171" s="330"/>
      <c r="L171" s="37"/>
      <c r="M171" s="39"/>
      <c r="N171" s="37"/>
    </row>
    <row r="172" spans="1:14" ht="20.149999999999999" customHeight="1" x14ac:dyDescent="0.35">
      <c r="A172"/>
      <c r="B172" s="41"/>
      <c r="C172" s="40"/>
      <c r="D172" s="1"/>
      <c r="E172" s="265"/>
      <c r="F172" s="265"/>
      <c r="G172" s="265"/>
      <c r="H172" s="265"/>
      <c r="I172" s="265"/>
      <c r="J172" s="265"/>
      <c r="K172" s="185"/>
      <c r="L172" s="37"/>
      <c r="M172" s="39"/>
      <c r="N172" s="37"/>
    </row>
    <row r="173" spans="1:14" ht="22" customHeight="1" x14ac:dyDescent="0.35">
      <c r="A173" s="135"/>
      <c r="B173" s="117">
        <v>1.3</v>
      </c>
      <c r="C173" s="100" t="s">
        <v>179</v>
      </c>
      <c r="D173" s="21"/>
      <c r="E173" s="196"/>
      <c r="F173" s="196"/>
      <c r="G173" s="196"/>
      <c r="H173" s="196"/>
      <c r="I173" s="196"/>
      <c r="J173" s="196"/>
      <c r="K173" s="320"/>
      <c r="L173" s="37"/>
      <c r="M173" s="39"/>
      <c r="N173" s="37"/>
    </row>
    <row r="174" spans="1:14" ht="22" customHeight="1" thickBot="1" x14ac:dyDescent="0.4">
      <c r="A174"/>
      <c r="B174" s="23"/>
      <c r="C174" s="35"/>
      <c r="D174" s="24"/>
      <c r="E174" s="207"/>
      <c r="F174" s="207"/>
      <c r="G174" s="207"/>
      <c r="H174" s="207"/>
      <c r="I174" s="207"/>
      <c r="J174" s="207"/>
      <c r="K174" s="25"/>
      <c r="L174" s="37"/>
      <c r="M174" s="39"/>
      <c r="N174" s="37"/>
    </row>
    <row r="175" spans="1:14" ht="22" customHeight="1" x14ac:dyDescent="0.35">
      <c r="A175"/>
      <c r="B175" s="17"/>
      <c r="C175" s="81" t="s">
        <v>38</v>
      </c>
      <c r="D175" s="76"/>
      <c r="E175" s="198" t="s">
        <v>20</v>
      </c>
      <c r="F175" s="198" t="s">
        <v>24</v>
      </c>
      <c r="G175" s="198" t="s">
        <v>27</v>
      </c>
      <c r="H175" s="198" t="s">
        <v>29</v>
      </c>
      <c r="I175" s="199" t="s">
        <v>32</v>
      </c>
      <c r="J175" s="200" t="s">
        <v>35</v>
      </c>
      <c r="K175" s="331" t="s">
        <v>39</v>
      </c>
      <c r="L175" s="37"/>
      <c r="M175" s="39"/>
      <c r="N175" s="37"/>
    </row>
    <row r="176" spans="1:14" ht="20.149999999999999" customHeight="1" x14ac:dyDescent="0.35">
      <c r="A176"/>
      <c r="B176" s="7"/>
      <c r="C176" s="96" t="s">
        <v>180</v>
      </c>
      <c r="D176" s="77"/>
      <c r="E176" s="266">
        <v>1</v>
      </c>
      <c r="F176" s="267"/>
      <c r="G176" s="267"/>
      <c r="H176" s="267"/>
      <c r="I176" s="268"/>
      <c r="J176" s="266">
        <v>1</v>
      </c>
      <c r="K176" s="332"/>
      <c r="L176" s="37"/>
      <c r="M176" s="39"/>
      <c r="N176" s="37"/>
    </row>
    <row r="177" spans="1:14" ht="20.149999999999999" customHeight="1" x14ac:dyDescent="0.35">
      <c r="A177"/>
      <c r="B177" s="7"/>
      <c r="C177" s="96" t="s">
        <v>181</v>
      </c>
      <c r="D177" s="77"/>
      <c r="E177" s="266">
        <v>1</v>
      </c>
      <c r="F177" s="267"/>
      <c r="G177" s="267"/>
      <c r="H177" s="267"/>
      <c r="I177" s="268"/>
      <c r="J177" s="266">
        <v>1</v>
      </c>
      <c r="K177" s="332"/>
      <c r="L177" s="37"/>
      <c r="M177" s="39"/>
      <c r="N177" s="37"/>
    </row>
    <row r="178" spans="1:14" ht="20.149999999999999" customHeight="1" x14ac:dyDescent="0.35">
      <c r="A178"/>
      <c r="B178" s="7"/>
      <c r="C178" s="96" t="s">
        <v>182</v>
      </c>
      <c r="D178" s="77"/>
      <c r="E178" s="266">
        <v>1</v>
      </c>
      <c r="F178" s="267"/>
      <c r="G178" s="267"/>
      <c r="H178" s="267"/>
      <c r="I178" s="268"/>
      <c r="J178" s="266">
        <v>1</v>
      </c>
      <c r="K178" s="332"/>
      <c r="L178" s="37"/>
      <c r="M178" s="39"/>
      <c r="N178" s="37"/>
    </row>
    <row r="179" spans="1:14" ht="31" x14ac:dyDescent="0.35">
      <c r="A179"/>
      <c r="B179" s="7"/>
      <c r="C179" s="174" t="s">
        <v>183</v>
      </c>
      <c r="D179" s="77"/>
      <c r="E179" s="266">
        <v>1</v>
      </c>
      <c r="F179" s="267"/>
      <c r="G179" s="267"/>
      <c r="H179" s="267"/>
      <c r="I179" s="268"/>
      <c r="J179" s="266">
        <v>1</v>
      </c>
      <c r="K179" s="332"/>
      <c r="L179" s="37"/>
      <c r="M179" s="39"/>
      <c r="N179" s="37"/>
    </row>
    <row r="180" spans="1:14" ht="20.149999999999999" customHeight="1" x14ac:dyDescent="0.35">
      <c r="A180"/>
      <c r="B180" s="7"/>
      <c r="C180" s="96" t="s">
        <v>184</v>
      </c>
      <c r="D180" s="77"/>
      <c r="E180" s="266">
        <v>1</v>
      </c>
      <c r="F180" s="267"/>
      <c r="G180" s="267"/>
      <c r="H180" s="267"/>
      <c r="I180" s="268"/>
      <c r="J180" s="266">
        <v>1</v>
      </c>
      <c r="K180" s="332"/>
      <c r="L180" s="37"/>
      <c r="M180" s="39"/>
      <c r="N180" s="37"/>
    </row>
    <row r="181" spans="1:14" ht="20.149999999999999" customHeight="1" x14ac:dyDescent="0.35">
      <c r="A181"/>
      <c r="B181" s="7"/>
      <c r="C181" s="97" t="s">
        <v>185</v>
      </c>
      <c r="D181" s="77"/>
      <c r="E181" s="266">
        <v>1</v>
      </c>
      <c r="F181" s="267"/>
      <c r="G181" s="267"/>
      <c r="H181" s="267"/>
      <c r="I181" s="268"/>
      <c r="J181" s="266">
        <v>1</v>
      </c>
      <c r="K181" s="332"/>
      <c r="L181" s="37"/>
      <c r="M181" s="39"/>
      <c r="N181" s="37"/>
    </row>
    <row r="182" spans="1:14" ht="20.149999999999999" customHeight="1" x14ac:dyDescent="0.35">
      <c r="A182"/>
      <c r="B182" s="7"/>
      <c r="C182" s="97" t="s">
        <v>186</v>
      </c>
      <c r="D182" s="77"/>
      <c r="E182" s="266">
        <v>1</v>
      </c>
      <c r="F182" s="267"/>
      <c r="G182" s="267"/>
      <c r="H182" s="267"/>
      <c r="I182" s="268"/>
      <c r="J182" s="266">
        <v>1</v>
      </c>
      <c r="K182" s="332"/>
      <c r="L182" s="37"/>
      <c r="M182" s="39"/>
      <c r="N182" s="37"/>
    </row>
    <row r="183" spans="1:14" ht="20.149999999999999" customHeight="1" x14ac:dyDescent="0.35">
      <c r="A183"/>
      <c r="B183" s="7"/>
      <c r="C183" s="97" t="s">
        <v>187</v>
      </c>
      <c r="D183" s="77"/>
      <c r="E183" s="266">
        <v>1</v>
      </c>
      <c r="F183" s="267"/>
      <c r="G183" s="267"/>
      <c r="H183" s="267"/>
      <c r="I183" s="269"/>
      <c r="J183" s="266">
        <v>1</v>
      </c>
      <c r="K183" s="332"/>
      <c r="L183" s="37"/>
      <c r="M183" s="39"/>
      <c r="N183" s="37"/>
    </row>
    <row r="184" spans="1:14" ht="20.149999999999999" customHeight="1" x14ac:dyDescent="0.35">
      <c r="A184"/>
      <c r="B184" s="7"/>
      <c r="C184" s="97" t="s">
        <v>188</v>
      </c>
      <c r="D184" s="77"/>
      <c r="E184" s="266">
        <v>1</v>
      </c>
      <c r="F184" s="267"/>
      <c r="G184" s="267"/>
      <c r="H184" s="270"/>
      <c r="I184" s="271"/>
      <c r="J184" s="266">
        <v>1</v>
      </c>
      <c r="K184" s="332"/>
      <c r="L184" s="37"/>
      <c r="M184" s="39"/>
      <c r="N184" s="37"/>
    </row>
    <row r="185" spans="1:14" ht="20.149999999999999" customHeight="1" x14ac:dyDescent="0.35">
      <c r="A185"/>
      <c r="B185" s="7"/>
      <c r="C185" s="97" t="s">
        <v>189</v>
      </c>
      <c r="D185" s="77"/>
      <c r="E185" s="266">
        <v>1</v>
      </c>
      <c r="F185" s="267"/>
      <c r="G185" s="267"/>
      <c r="H185" s="270"/>
      <c r="I185" s="272"/>
      <c r="J185" s="266">
        <v>1</v>
      </c>
      <c r="K185" s="332"/>
      <c r="L185" s="37"/>
      <c r="M185" s="39"/>
      <c r="N185" s="37"/>
    </row>
    <row r="186" spans="1:14" ht="20.149999999999999" customHeight="1" x14ac:dyDescent="0.35">
      <c r="A186"/>
      <c r="B186" s="7"/>
      <c r="C186" s="97" t="s">
        <v>190</v>
      </c>
      <c r="D186" s="77"/>
      <c r="E186" s="266">
        <v>1</v>
      </c>
      <c r="F186" s="267"/>
      <c r="G186" s="267"/>
      <c r="H186" s="270"/>
      <c r="I186" s="272"/>
      <c r="J186" s="266">
        <v>1</v>
      </c>
      <c r="K186" s="332"/>
      <c r="L186" s="37"/>
      <c r="M186" s="39"/>
      <c r="N186" s="37"/>
    </row>
    <row r="187" spans="1:14" ht="20.149999999999999" customHeight="1" x14ac:dyDescent="0.35">
      <c r="A187"/>
      <c r="B187" s="7"/>
      <c r="C187" s="98" t="s">
        <v>191</v>
      </c>
      <c r="D187" s="77"/>
      <c r="E187" s="266">
        <v>1</v>
      </c>
      <c r="F187" s="267"/>
      <c r="G187" s="267"/>
      <c r="H187" s="270"/>
      <c r="I187" s="272"/>
      <c r="J187" s="266">
        <v>1</v>
      </c>
      <c r="K187" s="332"/>
      <c r="L187" s="37"/>
      <c r="M187" s="39"/>
      <c r="N187" s="37"/>
    </row>
    <row r="188" spans="1:14" ht="20.149999999999999" customHeight="1" x14ac:dyDescent="0.35">
      <c r="A188"/>
      <c r="B188" s="7"/>
      <c r="C188" s="98" t="s">
        <v>192</v>
      </c>
      <c r="D188" s="77"/>
      <c r="E188" s="266">
        <v>1</v>
      </c>
      <c r="F188" s="267"/>
      <c r="G188" s="267"/>
      <c r="H188" s="270"/>
      <c r="I188" s="272"/>
      <c r="J188" s="266">
        <v>1</v>
      </c>
      <c r="K188" s="332"/>
      <c r="L188" s="37"/>
      <c r="M188" s="39"/>
      <c r="N188" s="37"/>
    </row>
    <row r="189" spans="1:14" ht="20.149999999999999" customHeight="1" x14ac:dyDescent="0.35">
      <c r="A189"/>
      <c r="B189" s="7"/>
      <c r="C189" s="98" t="s">
        <v>193</v>
      </c>
      <c r="D189" s="77"/>
      <c r="E189" s="266">
        <v>1</v>
      </c>
      <c r="F189" s="267"/>
      <c r="G189" s="267"/>
      <c r="H189" s="270"/>
      <c r="I189" s="272"/>
      <c r="J189" s="266">
        <v>1</v>
      </c>
      <c r="K189" s="332"/>
      <c r="L189" s="37"/>
      <c r="M189" s="39"/>
      <c r="N189" s="37"/>
    </row>
    <row r="190" spans="1:14" ht="20.149999999999999" customHeight="1" x14ac:dyDescent="0.35">
      <c r="A190"/>
      <c r="B190" s="7"/>
      <c r="C190" s="98" t="s">
        <v>194</v>
      </c>
      <c r="D190" s="77"/>
      <c r="E190" s="266">
        <v>1</v>
      </c>
      <c r="F190" s="267"/>
      <c r="G190" s="267"/>
      <c r="H190" s="270"/>
      <c r="I190" s="272"/>
      <c r="J190" s="266">
        <v>1</v>
      </c>
      <c r="K190" s="332"/>
      <c r="L190" s="37"/>
      <c r="M190" s="39"/>
      <c r="N190" s="37"/>
    </row>
    <row r="191" spans="1:14" ht="20.149999999999999" customHeight="1" x14ac:dyDescent="0.35">
      <c r="A191"/>
      <c r="B191" s="7"/>
      <c r="C191" s="98" t="s">
        <v>195</v>
      </c>
      <c r="D191" s="77"/>
      <c r="E191" s="266">
        <v>1</v>
      </c>
      <c r="F191" s="267"/>
      <c r="G191" s="267"/>
      <c r="H191" s="270"/>
      <c r="I191" s="272"/>
      <c r="J191" s="266">
        <v>1</v>
      </c>
      <c r="K191" s="332"/>
      <c r="L191" s="37"/>
      <c r="M191" s="39"/>
      <c r="N191" s="37"/>
    </row>
    <row r="192" spans="1:14" ht="20.149999999999999" customHeight="1" x14ac:dyDescent="0.35">
      <c r="A192"/>
      <c r="B192" s="7"/>
      <c r="C192" s="98" t="s">
        <v>196</v>
      </c>
      <c r="D192" s="77"/>
      <c r="E192" s="266">
        <v>1</v>
      </c>
      <c r="F192" s="267"/>
      <c r="G192" s="267"/>
      <c r="H192" s="270"/>
      <c r="I192" s="272"/>
      <c r="J192" s="266">
        <v>1</v>
      </c>
      <c r="K192" s="332"/>
      <c r="L192" s="37"/>
      <c r="M192" s="39"/>
      <c r="N192" s="37"/>
    </row>
    <row r="193" spans="1:14" ht="20.149999999999999" customHeight="1" x14ac:dyDescent="0.35">
      <c r="A193"/>
      <c r="B193" s="7"/>
      <c r="C193" s="98" t="s">
        <v>197</v>
      </c>
      <c r="D193" s="77"/>
      <c r="E193" s="266">
        <v>1</v>
      </c>
      <c r="F193" s="267"/>
      <c r="G193" s="267"/>
      <c r="H193" s="270"/>
      <c r="I193" s="273"/>
      <c r="J193" s="266">
        <v>1</v>
      </c>
      <c r="K193" s="332"/>
      <c r="L193" s="37"/>
      <c r="M193" s="39"/>
      <c r="N193" s="37"/>
    </row>
    <row r="194" spans="1:14" ht="20.149999999999999" customHeight="1" x14ac:dyDescent="0.35">
      <c r="A194"/>
      <c r="B194" s="7"/>
      <c r="C194" s="96" t="s">
        <v>198</v>
      </c>
      <c r="D194" s="77"/>
      <c r="E194" s="266">
        <v>1</v>
      </c>
      <c r="F194" s="267"/>
      <c r="G194" s="267"/>
      <c r="H194" s="270"/>
      <c r="I194" s="274"/>
      <c r="J194" s="266">
        <v>1</v>
      </c>
      <c r="K194" s="332"/>
      <c r="L194" s="37"/>
      <c r="M194" s="39"/>
      <c r="N194" s="37"/>
    </row>
    <row r="195" spans="1:14" ht="20.149999999999999" customHeight="1" x14ac:dyDescent="0.35">
      <c r="A195"/>
      <c r="B195" s="7"/>
      <c r="C195" s="97" t="s">
        <v>199</v>
      </c>
      <c r="D195" s="77"/>
      <c r="E195" s="266">
        <v>1</v>
      </c>
      <c r="F195" s="267"/>
      <c r="G195" s="267"/>
      <c r="H195" s="270"/>
      <c r="I195" s="275"/>
      <c r="J195" s="266">
        <v>1</v>
      </c>
      <c r="K195" s="332"/>
      <c r="L195" s="37"/>
      <c r="M195" s="39"/>
      <c r="N195" s="37"/>
    </row>
    <row r="196" spans="1:14" ht="20.149999999999999" customHeight="1" x14ac:dyDescent="0.35">
      <c r="A196"/>
      <c r="B196" s="7"/>
      <c r="C196" s="97" t="s">
        <v>200</v>
      </c>
      <c r="D196" s="77"/>
      <c r="E196" s="266">
        <v>1</v>
      </c>
      <c r="F196" s="267"/>
      <c r="G196" s="267"/>
      <c r="H196" s="270"/>
      <c r="I196" s="272"/>
      <c r="J196" s="266">
        <v>1</v>
      </c>
      <c r="K196" s="332"/>
      <c r="L196" s="37"/>
      <c r="M196" s="39"/>
      <c r="N196" s="37"/>
    </row>
    <row r="197" spans="1:14" ht="20.149999999999999" customHeight="1" x14ac:dyDescent="0.35">
      <c r="A197"/>
      <c r="B197" s="7"/>
      <c r="C197" s="97" t="s">
        <v>201</v>
      </c>
      <c r="D197" s="77"/>
      <c r="E197" s="266">
        <v>1</v>
      </c>
      <c r="F197" s="267"/>
      <c r="G197" s="267"/>
      <c r="H197" s="270"/>
      <c r="I197" s="272"/>
      <c r="J197" s="266">
        <v>1</v>
      </c>
      <c r="K197" s="332"/>
      <c r="L197" s="37"/>
      <c r="M197" s="39"/>
      <c r="N197" s="37"/>
    </row>
    <row r="198" spans="1:14" ht="20.149999999999999" customHeight="1" x14ac:dyDescent="0.35">
      <c r="A198"/>
      <c r="B198" s="7"/>
      <c r="C198" s="97" t="s">
        <v>202</v>
      </c>
      <c r="D198" s="77"/>
      <c r="E198" s="266">
        <v>1</v>
      </c>
      <c r="F198" s="267"/>
      <c r="G198" s="267"/>
      <c r="H198" s="270"/>
      <c r="I198" s="272"/>
      <c r="J198" s="266">
        <v>1</v>
      </c>
      <c r="K198" s="332"/>
      <c r="L198" s="37"/>
      <c r="M198" s="39"/>
      <c r="N198" s="37"/>
    </row>
    <row r="199" spans="1:14" ht="20.149999999999999" customHeight="1" x14ac:dyDescent="0.35">
      <c r="A199"/>
      <c r="B199" s="7"/>
      <c r="C199" s="97" t="s">
        <v>203</v>
      </c>
      <c r="D199" s="77"/>
      <c r="E199" s="266">
        <v>1</v>
      </c>
      <c r="F199" s="267"/>
      <c r="G199" s="267"/>
      <c r="H199" s="270"/>
      <c r="I199" s="272"/>
      <c r="J199" s="266">
        <v>1</v>
      </c>
      <c r="K199" s="332"/>
      <c r="L199" s="37"/>
      <c r="M199" s="39"/>
      <c r="N199" s="37"/>
    </row>
    <row r="200" spans="1:14" ht="20.149999999999999" customHeight="1" x14ac:dyDescent="0.35">
      <c r="A200"/>
      <c r="B200" s="7"/>
      <c r="C200" s="97" t="s">
        <v>186</v>
      </c>
      <c r="D200" s="77"/>
      <c r="E200" s="266">
        <v>1</v>
      </c>
      <c r="F200" s="267"/>
      <c r="G200" s="267"/>
      <c r="H200" s="270"/>
      <c r="I200" s="272"/>
      <c r="J200" s="266">
        <v>1</v>
      </c>
      <c r="K200" s="332"/>
      <c r="L200" s="37"/>
      <c r="M200" s="39"/>
      <c r="N200" s="37"/>
    </row>
    <row r="201" spans="1:14" ht="20.149999999999999" customHeight="1" x14ac:dyDescent="0.35">
      <c r="A201"/>
      <c r="B201" s="7"/>
      <c r="C201" s="97" t="s">
        <v>204</v>
      </c>
      <c r="D201" s="77"/>
      <c r="E201" s="266">
        <v>1</v>
      </c>
      <c r="F201" s="267"/>
      <c r="G201" s="267"/>
      <c r="H201" s="270"/>
      <c r="I201" s="272"/>
      <c r="J201" s="266">
        <v>1</v>
      </c>
      <c r="K201" s="332"/>
      <c r="L201" s="37"/>
      <c r="M201" s="39"/>
      <c r="N201" s="37"/>
    </row>
    <row r="202" spans="1:14" ht="20.149999999999999" customHeight="1" x14ac:dyDescent="0.35">
      <c r="A202"/>
      <c r="B202" s="7"/>
      <c r="C202" s="97" t="s">
        <v>205</v>
      </c>
      <c r="D202" s="77"/>
      <c r="E202" s="266">
        <v>1</v>
      </c>
      <c r="F202" s="267"/>
      <c r="G202" s="267"/>
      <c r="H202" s="270"/>
      <c r="I202" s="272"/>
      <c r="J202" s="266">
        <v>1</v>
      </c>
      <c r="K202" s="332"/>
      <c r="L202" s="37"/>
      <c r="M202" s="39"/>
      <c r="N202" s="37"/>
    </row>
    <row r="203" spans="1:14" ht="36" customHeight="1" x14ac:dyDescent="0.35">
      <c r="A203"/>
      <c r="B203" s="7"/>
      <c r="C203" s="97" t="s">
        <v>206</v>
      </c>
      <c r="D203" s="77"/>
      <c r="E203" s="266">
        <v>1</v>
      </c>
      <c r="F203" s="267"/>
      <c r="G203" s="267"/>
      <c r="H203" s="270"/>
      <c r="I203" s="273"/>
      <c r="J203" s="266">
        <v>1</v>
      </c>
      <c r="K203" s="333" t="s">
        <v>207</v>
      </c>
      <c r="L203" s="37"/>
      <c r="M203" s="39"/>
      <c r="N203" s="37"/>
    </row>
    <row r="204" spans="1:14" ht="20.149999999999999" customHeight="1" x14ac:dyDescent="0.35">
      <c r="A204"/>
      <c r="B204" s="7"/>
      <c r="C204" s="97" t="s">
        <v>208</v>
      </c>
      <c r="D204" s="77"/>
      <c r="E204" s="266">
        <v>1</v>
      </c>
      <c r="F204" s="267"/>
      <c r="G204" s="267"/>
      <c r="H204" s="270"/>
      <c r="I204" s="274"/>
      <c r="J204" s="266">
        <v>1</v>
      </c>
      <c r="K204" s="332"/>
      <c r="L204" s="37"/>
      <c r="M204" s="39"/>
      <c r="N204" s="37"/>
    </row>
    <row r="205" spans="1:14" ht="20.149999999999999" customHeight="1" x14ac:dyDescent="0.35">
      <c r="A205"/>
      <c r="B205" s="7"/>
      <c r="C205" s="96" t="s">
        <v>209</v>
      </c>
      <c r="D205" s="77"/>
      <c r="E205" s="266"/>
      <c r="F205" s="267">
        <v>1</v>
      </c>
      <c r="G205" s="267"/>
      <c r="H205" s="270"/>
      <c r="I205" s="275"/>
      <c r="J205" s="266">
        <v>1</v>
      </c>
      <c r="K205" s="332"/>
      <c r="L205" s="37"/>
      <c r="M205" s="39"/>
      <c r="N205" s="37"/>
    </row>
    <row r="206" spans="1:14" ht="20.149999999999999" customHeight="1" x14ac:dyDescent="0.35">
      <c r="A206"/>
      <c r="B206" s="7"/>
      <c r="C206" s="96" t="s">
        <v>210</v>
      </c>
      <c r="D206" s="77"/>
      <c r="E206" s="266">
        <v>1</v>
      </c>
      <c r="F206" s="267"/>
      <c r="G206" s="267"/>
      <c r="H206" s="270"/>
      <c r="I206" s="272"/>
      <c r="J206" s="266">
        <v>1</v>
      </c>
      <c r="K206" s="332"/>
      <c r="L206" s="37"/>
      <c r="M206" s="39"/>
      <c r="N206" s="37"/>
    </row>
    <row r="207" spans="1:14" ht="262.5" customHeight="1" x14ac:dyDescent="0.35">
      <c r="A207"/>
      <c r="B207" s="7"/>
      <c r="C207" s="96" t="s">
        <v>211</v>
      </c>
      <c r="D207" s="77"/>
      <c r="E207" s="266">
        <v>1</v>
      </c>
      <c r="F207" s="267"/>
      <c r="G207" s="267"/>
      <c r="H207" s="270"/>
      <c r="I207" s="272"/>
      <c r="J207" s="266">
        <v>1</v>
      </c>
      <c r="K207" s="333" t="s">
        <v>212</v>
      </c>
      <c r="L207" s="37"/>
      <c r="M207" s="39"/>
      <c r="N207" s="37"/>
    </row>
    <row r="208" spans="1:14" ht="20.149999999999999" customHeight="1" x14ac:dyDescent="0.35">
      <c r="A208"/>
      <c r="B208" s="7"/>
      <c r="C208" s="97" t="s">
        <v>213</v>
      </c>
      <c r="D208" s="77"/>
      <c r="E208" s="266"/>
      <c r="F208" s="267">
        <v>1</v>
      </c>
      <c r="G208" s="267"/>
      <c r="H208" s="270"/>
      <c r="I208" s="272"/>
      <c r="J208" s="266">
        <v>1</v>
      </c>
      <c r="K208" s="332"/>
      <c r="L208" s="37"/>
      <c r="M208" s="39"/>
      <c r="N208" s="37"/>
    </row>
    <row r="209" spans="1:14" ht="20.149999999999999" customHeight="1" x14ac:dyDescent="0.35">
      <c r="A209"/>
      <c r="B209" s="7"/>
      <c r="C209" s="97" t="s">
        <v>214</v>
      </c>
      <c r="D209" s="77"/>
      <c r="E209" s="266">
        <v>1</v>
      </c>
      <c r="F209" s="267"/>
      <c r="G209" s="267"/>
      <c r="H209" s="270"/>
      <c r="I209" s="272"/>
      <c r="J209" s="266">
        <v>1</v>
      </c>
      <c r="K209" s="332"/>
      <c r="L209" s="37"/>
      <c r="M209" s="39"/>
      <c r="N209" s="37"/>
    </row>
    <row r="210" spans="1:14" ht="20.149999999999999" customHeight="1" x14ac:dyDescent="0.35">
      <c r="A210"/>
      <c r="B210" s="7"/>
      <c r="C210" s="97" t="s">
        <v>215</v>
      </c>
      <c r="D210" s="77"/>
      <c r="E210" s="266">
        <v>1</v>
      </c>
      <c r="F210" s="267"/>
      <c r="G210" s="267"/>
      <c r="H210" s="270"/>
      <c r="I210" s="272"/>
      <c r="J210" s="266">
        <v>1</v>
      </c>
      <c r="K210" s="332"/>
      <c r="L210" s="37"/>
      <c r="M210" s="39"/>
      <c r="N210" s="37"/>
    </row>
    <row r="211" spans="1:14" ht="20.149999999999999" customHeight="1" x14ac:dyDescent="0.35">
      <c r="A211"/>
      <c r="B211" s="7"/>
      <c r="C211" s="97" t="s">
        <v>216</v>
      </c>
      <c r="D211" s="77"/>
      <c r="E211" s="266">
        <v>1</v>
      </c>
      <c r="F211" s="267"/>
      <c r="G211" s="267"/>
      <c r="H211" s="270"/>
      <c r="I211" s="272"/>
      <c r="J211" s="266">
        <v>1</v>
      </c>
      <c r="K211" s="332"/>
      <c r="L211" s="37"/>
      <c r="M211" s="39"/>
      <c r="N211" s="37"/>
    </row>
    <row r="212" spans="1:14" ht="20.149999999999999" customHeight="1" x14ac:dyDescent="0.35">
      <c r="A212"/>
      <c r="B212" s="7"/>
      <c r="C212" s="97" t="s">
        <v>217</v>
      </c>
      <c r="D212" s="77"/>
      <c r="E212" s="266">
        <v>1</v>
      </c>
      <c r="F212" s="267"/>
      <c r="G212" s="267"/>
      <c r="H212" s="270"/>
      <c r="I212" s="272"/>
      <c r="J212" s="276">
        <v>1</v>
      </c>
      <c r="K212" s="332"/>
      <c r="L212" s="37"/>
      <c r="M212" s="39"/>
      <c r="N212" s="37"/>
    </row>
    <row r="213" spans="1:14" ht="20.149999999999999" customHeight="1" x14ac:dyDescent="0.35">
      <c r="A213"/>
      <c r="B213" s="7"/>
      <c r="C213" s="97" t="s">
        <v>218</v>
      </c>
      <c r="D213" s="77"/>
      <c r="E213" s="266"/>
      <c r="F213" s="267">
        <v>1</v>
      </c>
      <c r="G213" s="267"/>
      <c r="H213" s="270"/>
      <c r="I213" s="277"/>
      <c r="J213" s="271">
        <v>1</v>
      </c>
      <c r="K213" s="332"/>
      <c r="L213" s="37"/>
      <c r="M213" s="39"/>
      <c r="N213" s="37"/>
    </row>
    <row r="214" spans="1:14" ht="20.149999999999999" customHeight="1" x14ac:dyDescent="0.35">
      <c r="A214"/>
      <c r="B214" s="7"/>
      <c r="C214" s="97" t="s">
        <v>219</v>
      </c>
      <c r="D214" s="77"/>
      <c r="E214" s="266">
        <v>1</v>
      </c>
      <c r="F214" s="267"/>
      <c r="G214" s="267"/>
      <c r="H214" s="267"/>
      <c r="I214" s="278"/>
      <c r="J214" s="272">
        <v>1</v>
      </c>
      <c r="K214" s="332"/>
      <c r="L214" s="37"/>
      <c r="M214" s="39"/>
      <c r="N214" s="37"/>
    </row>
    <row r="215" spans="1:14" ht="20.149999999999999" customHeight="1" x14ac:dyDescent="0.35">
      <c r="A215"/>
      <c r="B215" s="7"/>
      <c r="C215" s="96" t="s">
        <v>220</v>
      </c>
      <c r="D215" s="77"/>
      <c r="E215" s="266">
        <v>1</v>
      </c>
      <c r="F215" s="267"/>
      <c r="G215" s="267"/>
      <c r="H215" s="267"/>
      <c r="I215" s="270"/>
      <c r="J215" s="272">
        <v>1</v>
      </c>
      <c r="K215" s="332"/>
      <c r="L215" s="37"/>
      <c r="M215" s="39"/>
      <c r="N215" s="37"/>
    </row>
    <row r="216" spans="1:14" ht="20.149999999999999" customHeight="1" x14ac:dyDescent="0.35">
      <c r="A216"/>
      <c r="B216" s="7"/>
      <c r="C216" s="96" t="s">
        <v>221</v>
      </c>
      <c r="D216" s="77"/>
      <c r="E216" s="266">
        <v>1</v>
      </c>
      <c r="F216" s="267"/>
      <c r="G216" s="267"/>
      <c r="H216" s="267"/>
      <c r="I216" s="270"/>
      <c r="J216" s="272">
        <v>1</v>
      </c>
      <c r="K216" s="332"/>
      <c r="L216" s="37"/>
      <c r="M216" s="39"/>
      <c r="N216" s="37"/>
    </row>
    <row r="217" spans="1:14" ht="20.149999999999999" customHeight="1" x14ac:dyDescent="0.35">
      <c r="A217"/>
      <c r="B217" s="7"/>
      <c r="C217" s="96" t="s">
        <v>222</v>
      </c>
      <c r="D217" s="77"/>
      <c r="E217" s="266">
        <v>1</v>
      </c>
      <c r="F217" s="267"/>
      <c r="G217" s="267"/>
      <c r="H217" s="267"/>
      <c r="I217" s="270"/>
      <c r="J217" s="272">
        <v>1</v>
      </c>
      <c r="K217" s="332"/>
      <c r="L217" s="37"/>
      <c r="M217" s="39"/>
      <c r="N217" s="37"/>
    </row>
    <row r="218" spans="1:14" ht="20.149999999999999" customHeight="1" x14ac:dyDescent="0.35">
      <c r="A218"/>
      <c r="B218" s="7"/>
      <c r="C218" s="96" t="s">
        <v>223</v>
      </c>
      <c r="D218" s="77"/>
      <c r="E218" s="266">
        <v>1</v>
      </c>
      <c r="F218" s="267"/>
      <c r="G218" s="267"/>
      <c r="H218" s="267"/>
      <c r="I218" s="270"/>
      <c r="J218" s="272">
        <v>1</v>
      </c>
      <c r="K218" s="332"/>
      <c r="L218" s="37"/>
      <c r="M218" s="39"/>
      <c r="N218" s="37"/>
    </row>
    <row r="219" spans="1:14" ht="20.149999999999999" customHeight="1" x14ac:dyDescent="0.35">
      <c r="A219"/>
      <c r="B219" s="7"/>
      <c r="C219" s="96" t="s">
        <v>224</v>
      </c>
      <c r="D219" s="77"/>
      <c r="E219" s="266">
        <v>1</v>
      </c>
      <c r="F219" s="267"/>
      <c r="G219" s="267"/>
      <c r="H219" s="267"/>
      <c r="I219" s="270"/>
      <c r="J219" s="272">
        <v>1</v>
      </c>
      <c r="K219" s="332"/>
      <c r="L219" s="37"/>
      <c r="M219" s="39"/>
      <c r="N219" s="37"/>
    </row>
    <row r="220" spans="1:14" ht="31" x14ac:dyDescent="0.35">
      <c r="A220"/>
      <c r="B220" s="7"/>
      <c r="C220" s="174" t="s">
        <v>225</v>
      </c>
      <c r="D220" s="77"/>
      <c r="E220" s="266">
        <v>1</v>
      </c>
      <c r="F220" s="267"/>
      <c r="G220" s="267"/>
      <c r="H220" s="267"/>
      <c r="I220" s="270"/>
      <c r="J220" s="272">
        <v>1</v>
      </c>
      <c r="K220" s="332"/>
      <c r="L220" s="37"/>
      <c r="M220" s="39"/>
      <c r="N220" s="37"/>
    </row>
    <row r="221" spans="1:14" ht="20.149999999999999" customHeight="1" x14ac:dyDescent="0.35">
      <c r="A221"/>
      <c r="B221" s="7"/>
      <c r="C221" s="96" t="s">
        <v>226</v>
      </c>
      <c r="D221" s="77"/>
      <c r="E221" s="266">
        <v>1</v>
      </c>
      <c r="F221" s="267"/>
      <c r="G221" s="267"/>
      <c r="H221" s="267"/>
      <c r="I221" s="270"/>
      <c r="J221" s="272">
        <v>1</v>
      </c>
      <c r="K221" s="332"/>
      <c r="L221" s="37"/>
      <c r="M221" s="39"/>
      <c r="N221" s="37"/>
    </row>
    <row r="222" spans="1:14" ht="20.149999999999999" customHeight="1" x14ac:dyDescent="0.35">
      <c r="A222"/>
      <c r="B222" s="7"/>
      <c r="C222" s="96" t="s">
        <v>227</v>
      </c>
      <c r="D222" s="77"/>
      <c r="E222" s="266">
        <v>1</v>
      </c>
      <c r="F222" s="267"/>
      <c r="G222" s="267"/>
      <c r="H222" s="267"/>
      <c r="I222" s="270"/>
      <c r="J222" s="272">
        <v>1</v>
      </c>
      <c r="K222" s="332"/>
      <c r="L222" s="37"/>
      <c r="M222" s="39"/>
      <c r="N222" s="37"/>
    </row>
    <row r="223" spans="1:14" ht="20.149999999999999" customHeight="1" x14ac:dyDescent="0.35">
      <c r="A223"/>
      <c r="B223" s="7"/>
      <c r="C223" s="96" t="s">
        <v>228</v>
      </c>
      <c r="D223" s="77"/>
      <c r="E223" s="266">
        <v>1</v>
      </c>
      <c r="F223" s="267"/>
      <c r="G223" s="267"/>
      <c r="H223" s="267"/>
      <c r="I223" s="270"/>
      <c r="J223" s="272">
        <v>1</v>
      </c>
      <c r="K223" s="332"/>
      <c r="L223" s="37"/>
      <c r="M223" s="39"/>
      <c r="N223" s="37"/>
    </row>
    <row r="224" spans="1:14" ht="20.149999999999999" customHeight="1" x14ac:dyDescent="0.35">
      <c r="A224"/>
      <c r="B224" s="7"/>
      <c r="C224" s="96" t="s">
        <v>229</v>
      </c>
      <c r="D224" s="77"/>
      <c r="E224" s="266">
        <v>1</v>
      </c>
      <c r="F224" s="267"/>
      <c r="G224" s="267"/>
      <c r="H224" s="267"/>
      <c r="I224" s="270"/>
      <c r="J224" s="272">
        <v>1</v>
      </c>
      <c r="K224" s="332"/>
      <c r="L224" s="37"/>
      <c r="M224" s="39"/>
      <c r="N224" s="37"/>
    </row>
    <row r="225" spans="1:14" ht="20.149999999999999" customHeight="1" x14ac:dyDescent="0.35">
      <c r="A225"/>
      <c r="B225" s="7"/>
      <c r="C225" s="96" t="s">
        <v>230</v>
      </c>
      <c r="D225" s="77"/>
      <c r="E225" s="266">
        <v>1</v>
      </c>
      <c r="F225" s="267"/>
      <c r="G225" s="267"/>
      <c r="H225" s="267"/>
      <c r="I225" s="270"/>
      <c r="J225" s="272">
        <v>1</v>
      </c>
      <c r="K225" s="332"/>
      <c r="L225" s="37"/>
      <c r="M225" s="39"/>
      <c r="N225" s="37"/>
    </row>
    <row r="226" spans="1:14" ht="20.149999999999999" customHeight="1" x14ac:dyDescent="0.35">
      <c r="A226"/>
      <c r="B226" s="7"/>
      <c r="C226" s="96" t="s">
        <v>231</v>
      </c>
      <c r="D226" s="77"/>
      <c r="E226" s="266">
        <v>1</v>
      </c>
      <c r="F226" s="267"/>
      <c r="G226" s="267"/>
      <c r="H226" s="267"/>
      <c r="I226" s="270"/>
      <c r="J226" s="272">
        <v>1</v>
      </c>
      <c r="K226" s="332"/>
      <c r="L226" s="37"/>
      <c r="M226" s="39"/>
      <c r="N226" s="37"/>
    </row>
    <row r="227" spans="1:14" ht="20.149999999999999" customHeight="1" x14ac:dyDescent="0.35">
      <c r="A227"/>
      <c r="B227" s="7"/>
      <c r="C227" s="96" t="s">
        <v>232</v>
      </c>
      <c r="D227" s="77"/>
      <c r="E227" s="266">
        <v>1</v>
      </c>
      <c r="F227" s="267"/>
      <c r="G227" s="267"/>
      <c r="H227" s="267"/>
      <c r="I227" s="270"/>
      <c r="J227" s="273">
        <v>1</v>
      </c>
      <c r="K227" s="332"/>
      <c r="L227" s="37"/>
      <c r="M227" s="39"/>
      <c r="N227" s="37"/>
    </row>
    <row r="228" spans="1:14" ht="19.5" customHeight="1" x14ac:dyDescent="0.35">
      <c r="A228"/>
      <c r="B228" s="7"/>
      <c r="C228" s="96" t="s">
        <v>233</v>
      </c>
      <c r="D228" s="77"/>
      <c r="E228" s="266">
        <v>1</v>
      </c>
      <c r="F228" s="267"/>
      <c r="G228" s="267"/>
      <c r="H228" s="267"/>
      <c r="I228" s="270"/>
      <c r="J228" s="274">
        <v>1</v>
      </c>
      <c r="K228" s="332"/>
      <c r="L228" s="37"/>
      <c r="M228" s="39"/>
      <c r="N228" s="37"/>
    </row>
    <row r="229" spans="1:14" ht="47.25" customHeight="1" x14ac:dyDescent="0.35">
      <c r="A229"/>
      <c r="B229" s="7"/>
      <c r="C229" s="96" t="s">
        <v>234</v>
      </c>
      <c r="D229" s="77"/>
      <c r="E229" s="266">
        <v>1</v>
      </c>
      <c r="F229" s="267"/>
      <c r="G229" s="267"/>
      <c r="H229" s="267"/>
      <c r="I229" s="270"/>
      <c r="J229" s="275">
        <v>1</v>
      </c>
      <c r="K229" s="333"/>
      <c r="L229" s="37"/>
      <c r="M229" s="39"/>
      <c r="N229" s="37"/>
    </row>
    <row r="230" spans="1:14" ht="20.149999999999999" customHeight="1" x14ac:dyDescent="0.35">
      <c r="A230"/>
      <c r="B230" s="7"/>
      <c r="C230" s="96" t="s">
        <v>235</v>
      </c>
      <c r="D230" s="77"/>
      <c r="E230" s="266">
        <v>1</v>
      </c>
      <c r="F230" s="267"/>
      <c r="G230" s="267"/>
      <c r="H230" s="267"/>
      <c r="I230" s="270"/>
      <c r="J230" s="272">
        <v>1</v>
      </c>
      <c r="K230" s="332"/>
      <c r="L230" s="37"/>
      <c r="M230" s="39"/>
      <c r="N230" s="37"/>
    </row>
    <row r="231" spans="1:14" ht="20.149999999999999" customHeight="1" x14ac:dyDescent="0.35">
      <c r="A231"/>
      <c r="B231" s="7"/>
      <c r="C231" s="97" t="s">
        <v>236</v>
      </c>
      <c r="D231" s="77"/>
      <c r="E231" s="266">
        <v>1</v>
      </c>
      <c r="F231" s="267"/>
      <c r="G231" s="267"/>
      <c r="H231" s="267"/>
      <c r="I231" s="270"/>
      <c r="J231" s="272">
        <v>1</v>
      </c>
      <c r="K231" s="332"/>
      <c r="L231" s="37"/>
      <c r="M231" s="39"/>
      <c r="N231" s="37"/>
    </row>
    <row r="232" spans="1:14" ht="20.149999999999999" customHeight="1" x14ac:dyDescent="0.35">
      <c r="A232"/>
      <c r="B232" s="7"/>
      <c r="C232" s="97" t="s">
        <v>237</v>
      </c>
      <c r="D232" s="77"/>
      <c r="E232" s="266">
        <v>1</v>
      </c>
      <c r="F232" s="267"/>
      <c r="G232" s="267"/>
      <c r="H232" s="267"/>
      <c r="I232" s="270"/>
      <c r="J232" s="272">
        <v>1</v>
      </c>
      <c r="K232" s="332"/>
      <c r="L232" s="37"/>
      <c r="M232" s="39"/>
      <c r="N232" s="37"/>
    </row>
    <row r="233" spans="1:14" ht="20.149999999999999" customHeight="1" x14ac:dyDescent="0.35">
      <c r="A233"/>
      <c r="B233" s="7"/>
      <c r="C233" s="97" t="s">
        <v>238</v>
      </c>
      <c r="D233" s="77"/>
      <c r="E233" s="266">
        <v>1</v>
      </c>
      <c r="F233" s="267"/>
      <c r="G233" s="267"/>
      <c r="H233" s="267"/>
      <c r="I233" s="270"/>
      <c r="J233" s="272">
        <v>1</v>
      </c>
      <c r="K233" s="332"/>
      <c r="L233" s="37"/>
      <c r="M233" s="39"/>
      <c r="N233" s="37"/>
    </row>
    <row r="234" spans="1:14" ht="20.149999999999999" customHeight="1" x14ac:dyDescent="0.35">
      <c r="A234"/>
      <c r="B234" s="7"/>
      <c r="C234" s="97" t="s">
        <v>239</v>
      </c>
      <c r="D234" s="77"/>
      <c r="E234" s="266">
        <v>1</v>
      </c>
      <c r="F234" s="267"/>
      <c r="G234" s="267"/>
      <c r="H234" s="267"/>
      <c r="I234" s="270"/>
      <c r="J234" s="272">
        <v>1</v>
      </c>
      <c r="K234" s="332"/>
      <c r="L234" s="37"/>
      <c r="M234" s="39"/>
      <c r="N234" s="37"/>
    </row>
    <row r="235" spans="1:14" ht="20.149999999999999" customHeight="1" x14ac:dyDescent="0.35">
      <c r="A235"/>
      <c r="B235" s="7"/>
      <c r="C235" s="97" t="s">
        <v>240</v>
      </c>
      <c r="D235" s="77"/>
      <c r="E235" s="266">
        <v>1</v>
      </c>
      <c r="F235" s="267"/>
      <c r="G235" s="267"/>
      <c r="H235" s="267"/>
      <c r="I235" s="270"/>
      <c r="J235" s="272">
        <v>1</v>
      </c>
      <c r="K235" s="332"/>
      <c r="L235" s="37"/>
      <c r="M235" s="39"/>
      <c r="N235" s="37"/>
    </row>
    <row r="236" spans="1:14" ht="20.149999999999999" customHeight="1" x14ac:dyDescent="0.35">
      <c r="A236"/>
      <c r="B236" s="7"/>
      <c r="C236" s="97" t="s">
        <v>241</v>
      </c>
      <c r="D236" s="77"/>
      <c r="E236" s="266">
        <v>1</v>
      </c>
      <c r="F236" s="267"/>
      <c r="G236" s="267"/>
      <c r="H236" s="267"/>
      <c r="I236" s="270"/>
      <c r="J236" s="272">
        <v>1</v>
      </c>
      <c r="K236" s="332"/>
      <c r="L236" s="37"/>
      <c r="M236" s="39"/>
      <c r="N236" s="37"/>
    </row>
    <row r="237" spans="1:14" ht="20.149999999999999" customHeight="1" x14ac:dyDescent="0.35">
      <c r="A237"/>
      <c r="B237" s="7"/>
      <c r="C237" s="97" t="s">
        <v>242</v>
      </c>
      <c r="D237" s="77"/>
      <c r="E237" s="266">
        <v>1</v>
      </c>
      <c r="F237" s="267"/>
      <c r="G237" s="267"/>
      <c r="H237" s="267"/>
      <c r="I237" s="270"/>
      <c r="J237" s="272">
        <v>1</v>
      </c>
      <c r="K237" s="332"/>
      <c r="L237" s="37"/>
      <c r="M237" s="39"/>
      <c r="N237" s="37"/>
    </row>
    <row r="238" spans="1:14" ht="20.149999999999999" customHeight="1" x14ac:dyDescent="0.35">
      <c r="A238"/>
      <c r="B238" s="7"/>
      <c r="C238" s="97" t="s">
        <v>243</v>
      </c>
      <c r="D238" s="77"/>
      <c r="E238" s="266">
        <v>1</v>
      </c>
      <c r="F238" s="267"/>
      <c r="G238" s="267"/>
      <c r="H238" s="267"/>
      <c r="I238" s="270"/>
      <c r="J238" s="272">
        <v>1</v>
      </c>
      <c r="K238" s="332"/>
      <c r="L238" s="37"/>
      <c r="M238" s="39"/>
      <c r="N238" s="37"/>
    </row>
    <row r="239" spans="1:14" ht="20.149999999999999" customHeight="1" x14ac:dyDescent="0.35">
      <c r="A239"/>
      <c r="B239" s="7"/>
      <c r="C239" s="97" t="s">
        <v>244</v>
      </c>
      <c r="D239" s="77"/>
      <c r="E239" s="266">
        <v>1</v>
      </c>
      <c r="F239" s="267"/>
      <c r="G239" s="267"/>
      <c r="H239" s="267"/>
      <c r="I239" s="270"/>
      <c r="J239" s="272">
        <v>1</v>
      </c>
      <c r="K239" s="332"/>
      <c r="L239" s="37"/>
      <c r="M239" s="39"/>
      <c r="N239" s="37"/>
    </row>
    <row r="240" spans="1:14" ht="20.149999999999999" customHeight="1" x14ac:dyDescent="0.35">
      <c r="A240"/>
      <c r="B240" s="7"/>
      <c r="C240" s="97" t="s">
        <v>245</v>
      </c>
      <c r="D240" s="77"/>
      <c r="E240" s="266">
        <v>1</v>
      </c>
      <c r="F240" s="267"/>
      <c r="G240" s="267"/>
      <c r="H240" s="267"/>
      <c r="I240" s="270"/>
      <c r="J240" s="272">
        <v>1</v>
      </c>
      <c r="K240" s="332"/>
      <c r="L240" s="37"/>
      <c r="M240" s="39"/>
      <c r="N240" s="37"/>
    </row>
    <row r="241" spans="1:14" ht="20.149999999999999" customHeight="1" x14ac:dyDescent="0.35">
      <c r="A241"/>
      <c r="B241" s="7"/>
      <c r="C241" s="97" t="s">
        <v>246</v>
      </c>
      <c r="D241" s="77"/>
      <c r="E241" s="266">
        <v>1</v>
      </c>
      <c r="F241" s="267"/>
      <c r="G241" s="267"/>
      <c r="H241" s="267"/>
      <c r="I241" s="270"/>
      <c r="J241" s="272">
        <v>1</v>
      </c>
      <c r="K241" s="332"/>
      <c r="L241" s="37"/>
      <c r="M241" s="39"/>
      <c r="N241" s="37"/>
    </row>
    <row r="242" spans="1:14" ht="20.149999999999999" customHeight="1" x14ac:dyDescent="0.35">
      <c r="A242"/>
      <c r="B242" s="7"/>
      <c r="C242" s="97" t="s">
        <v>247</v>
      </c>
      <c r="D242" s="77"/>
      <c r="E242" s="266">
        <v>1</v>
      </c>
      <c r="F242" s="267"/>
      <c r="G242" s="267"/>
      <c r="H242" s="267"/>
      <c r="I242" s="270"/>
      <c r="J242" s="272">
        <v>1</v>
      </c>
      <c r="K242" s="332"/>
      <c r="L242" s="37"/>
      <c r="M242" s="39"/>
      <c r="N242" s="37"/>
    </row>
    <row r="243" spans="1:14" ht="20.149999999999999" customHeight="1" x14ac:dyDescent="0.35">
      <c r="A243"/>
      <c r="B243" s="7"/>
      <c r="C243" s="97" t="s">
        <v>248</v>
      </c>
      <c r="D243" s="77"/>
      <c r="E243" s="266">
        <v>1</v>
      </c>
      <c r="F243" s="267"/>
      <c r="G243" s="267"/>
      <c r="H243" s="267"/>
      <c r="I243" s="270"/>
      <c r="J243" s="279">
        <v>1</v>
      </c>
      <c r="K243" s="332"/>
      <c r="L243" s="37"/>
      <c r="M243" s="39"/>
      <c r="N243" s="37"/>
    </row>
    <row r="244" spans="1:14" ht="20.149999999999999" customHeight="1" thickBot="1" x14ac:dyDescent="0.4">
      <c r="A244"/>
      <c r="B244" s="7"/>
      <c r="C244" s="82"/>
      <c r="D244" s="77"/>
      <c r="E244" s="280"/>
      <c r="F244" s="281"/>
      <c r="G244" s="281"/>
      <c r="H244" s="281"/>
      <c r="I244" s="282"/>
      <c r="J244" s="283"/>
      <c r="K244" s="334"/>
      <c r="L244" s="37"/>
      <c r="M244" s="39"/>
      <c r="N244" s="37"/>
    </row>
    <row r="245" spans="1:14" ht="20.149999999999999" customHeight="1" x14ac:dyDescent="0.35">
      <c r="A245"/>
      <c r="B245" s="7"/>
      <c r="C245" s="61"/>
      <c r="D245" s="39"/>
      <c r="E245" s="195">
        <f t="shared" ref="E245:J245" si="2">SUM(E176:E244)</f>
        <v>65</v>
      </c>
      <c r="F245" s="195">
        <f t="shared" si="2"/>
        <v>3</v>
      </c>
      <c r="G245" s="195">
        <f t="shared" si="2"/>
        <v>0</v>
      </c>
      <c r="H245" s="195">
        <f t="shared" si="2"/>
        <v>0</v>
      </c>
      <c r="I245" s="195">
        <f t="shared" si="2"/>
        <v>0</v>
      </c>
      <c r="J245" s="195">
        <f t="shared" si="2"/>
        <v>68</v>
      </c>
      <c r="K245" s="335"/>
      <c r="L245" s="37"/>
      <c r="M245" s="39"/>
      <c r="N245" s="37"/>
    </row>
    <row r="246" spans="1:14" ht="20.149999999999999" customHeight="1" x14ac:dyDescent="0.35">
      <c r="A246"/>
      <c r="B246" s="7"/>
      <c r="C246" s="61"/>
      <c r="D246" s="24"/>
      <c r="E246" s="284"/>
      <c r="F246" s="284"/>
      <c r="G246" s="284"/>
      <c r="H246" s="284"/>
      <c r="I246" s="284"/>
      <c r="J246" s="284"/>
      <c r="K246" s="335"/>
      <c r="L246" s="37"/>
      <c r="M246" s="39"/>
      <c r="N246" s="37"/>
    </row>
    <row r="247" spans="1:14" ht="22" customHeight="1" x14ac:dyDescent="0.35">
      <c r="A247"/>
      <c r="B247" s="117">
        <v>1.4</v>
      </c>
      <c r="C247" s="100" t="s">
        <v>249</v>
      </c>
      <c r="D247" s="67"/>
      <c r="E247" s="208"/>
      <c r="F247" s="208"/>
      <c r="G247" s="208"/>
      <c r="H247" s="208"/>
      <c r="I247" s="208"/>
      <c r="J247" s="208"/>
      <c r="K247" s="336"/>
      <c r="L247" s="37"/>
      <c r="M247" s="39"/>
      <c r="N247" s="37"/>
    </row>
    <row r="248" spans="1:14" ht="22" customHeight="1" thickBot="1" x14ac:dyDescent="0.4">
      <c r="A248"/>
      <c r="B248" s="17"/>
      <c r="C248" s="28"/>
      <c r="D248" s="24"/>
      <c r="E248" s="285"/>
      <c r="F248" s="285"/>
      <c r="G248" s="285"/>
      <c r="H248" s="285"/>
      <c r="I248" s="285"/>
      <c r="J248" s="285"/>
      <c r="K248" s="337"/>
      <c r="L248" s="37"/>
      <c r="M248" s="39"/>
      <c r="N248" s="37"/>
    </row>
    <row r="249" spans="1:14" ht="22" customHeight="1" x14ac:dyDescent="0.35">
      <c r="A249"/>
      <c r="B249" s="17"/>
      <c r="C249" s="79" t="s">
        <v>38</v>
      </c>
      <c r="D249" s="78"/>
      <c r="E249" s="198" t="s">
        <v>20</v>
      </c>
      <c r="F249" s="198" t="s">
        <v>24</v>
      </c>
      <c r="G249" s="198" t="s">
        <v>27</v>
      </c>
      <c r="H249" s="198" t="s">
        <v>29</v>
      </c>
      <c r="I249" s="199" t="s">
        <v>32</v>
      </c>
      <c r="J249" s="200" t="s">
        <v>35</v>
      </c>
      <c r="K249" s="331" t="s">
        <v>39</v>
      </c>
      <c r="L249" s="37"/>
      <c r="M249" s="39"/>
      <c r="N249" s="37"/>
    </row>
    <row r="250" spans="1:14" ht="18" customHeight="1" thickBot="1" x14ac:dyDescent="0.4">
      <c r="A250"/>
      <c r="B250" s="17"/>
      <c r="C250" s="99" t="s">
        <v>250</v>
      </c>
      <c r="D250" s="78"/>
      <c r="E250" s="266">
        <v>1</v>
      </c>
      <c r="F250" s="267"/>
      <c r="G250" s="267"/>
      <c r="H250" s="267"/>
      <c r="I250" s="268"/>
      <c r="J250" s="266">
        <v>1</v>
      </c>
      <c r="K250" s="332"/>
      <c r="L250" s="37"/>
      <c r="M250" s="39"/>
      <c r="N250" s="37"/>
    </row>
    <row r="251" spans="1:14" ht="165" customHeight="1" thickBot="1" x14ac:dyDescent="0.4">
      <c r="A251"/>
      <c r="B251" s="17"/>
      <c r="C251" s="99" t="s">
        <v>251</v>
      </c>
      <c r="D251" s="78"/>
      <c r="E251" s="266">
        <v>1</v>
      </c>
      <c r="F251" s="267"/>
      <c r="G251" s="267"/>
      <c r="H251" s="267"/>
      <c r="I251" s="268"/>
      <c r="J251" s="266">
        <v>1</v>
      </c>
      <c r="K251" s="333" t="s">
        <v>252</v>
      </c>
      <c r="L251" s="37"/>
      <c r="M251" s="39"/>
      <c r="N251" s="37"/>
    </row>
    <row r="252" spans="1:14" ht="31.5" thickBot="1" x14ac:dyDescent="0.4">
      <c r="A252"/>
      <c r="B252" s="17"/>
      <c r="C252" s="152" t="s">
        <v>253</v>
      </c>
      <c r="D252" s="78"/>
      <c r="E252" s="266">
        <v>1</v>
      </c>
      <c r="F252" s="267"/>
      <c r="G252" s="267"/>
      <c r="H252" s="267"/>
      <c r="I252" s="268"/>
      <c r="J252" s="266">
        <v>1</v>
      </c>
      <c r="K252" s="332" t="s">
        <v>254</v>
      </c>
      <c r="L252" s="37"/>
      <c r="M252" s="39"/>
      <c r="N252" s="37"/>
    </row>
    <row r="253" spans="1:14" ht="166.5" customHeight="1" thickBot="1" x14ac:dyDescent="0.4">
      <c r="A253"/>
      <c r="B253" s="17"/>
      <c r="C253" s="99" t="s">
        <v>255</v>
      </c>
      <c r="D253" s="78"/>
      <c r="E253" s="266"/>
      <c r="F253" s="267">
        <v>1</v>
      </c>
      <c r="G253" s="267"/>
      <c r="H253" s="267"/>
      <c r="I253" s="268"/>
      <c r="J253" s="266"/>
      <c r="K253" s="333" t="s">
        <v>174</v>
      </c>
      <c r="L253" s="37"/>
      <c r="M253" s="39"/>
      <c r="N253" s="37"/>
    </row>
    <row r="254" spans="1:14" ht="18" customHeight="1" thickBot="1" x14ac:dyDescent="0.4">
      <c r="A254"/>
      <c r="B254" s="17"/>
      <c r="C254" s="150" t="s">
        <v>256</v>
      </c>
      <c r="D254" s="78"/>
      <c r="E254" s="266"/>
      <c r="F254" s="267">
        <v>1</v>
      </c>
      <c r="G254" s="267"/>
      <c r="H254" s="267"/>
      <c r="I254" s="268"/>
      <c r="J254" s="266"/>
      <c r="K254" s="332" t="s">
        <v>257</v>
      </c>
      <c r="L254" s="37"/>
      <c r="M254" s="39"/>
      <c r="N254" s="37"/>
    </row>
    <row r="255" spans="1:14" ht="18" customHeight="1" thickBot="1" x14ac:dyDescent="0.4">
      <c r="A255"/>
      <c r="B255" s="17"/>
      <c r="C255" s="150" t="s">
        <v>258</v>
      </c>
      <c r="D255" s="78"/>
      <c r="E255" s="266"/>
      <c r="F255" s="267">
        <v>1</v>
      </c>
      <c r="G255" s="267"/>
      <c r="H255" s="267"/>
      <c r="I255" s="268"/>
      <c r="J255" s="266"/>
      <c r="K255" s="332" t="s">
        <v>257</v>
      </c>
      <c r="L255" s="37"/>
      <c r="M255" s="39"/>
      <c r="N255" s="37"/>
    </row>
    <row r="256" spans="1:14" ht="18" customHeight="1" thickBot="1" x14ac:dyDescent="0.4">
      <c r="A256"/>
      <c r="B256" s="17"/>
      <c r="C256" s="151" t="s">
        <v>259</v>
      </c>
      <c r="D256" s="78"/>
      <c r="E256" s="266">
        <v>1</v>
      </c>
      <c r="F256" s="267"/>
      <c r="G256" s="267"/>
      <c r="H256" s="267"/>
      <c r="I256" s="268"/>
      <c r="J256" s="266">
        <v>1</v>
      </c>
      <c r="K256" s="332"/>
      <c r="L256" s="37"/>
      <c r="M256" s="39"/>
      <c r="N256" s="37"/>
    </row>
    <row r="257" spans="1:14" ht="18" customHeight="1" thickBot="1" x14ac:dyDescent="0.4">
      <c r="A257"/>
      <c r="B257" s="17"/>
      <c r="C257" s="151" t="s">
        <v>260</v>
      </c>
      <c r="D257" s="78"/>
      <c r="E257" s="266">
        <v>1</v>
      </c>
      <c r="F257" s="267"/>
      <c r="G257" s="267"/>
      <c r="H257" s="267"/>
      <c r="I257" s="268"/>
      <c r="J257" s="266">
        <v>1</v>
      </c>
      <c r="K257" s="332"/>
      <c r="L257" s="37"/>
      <c r="M257" s="39"/>
      <c r="N257" s="37"/>
    </row>
    <row r="258" spans="1:14" ht="18" customHeight="1" thickBot="1" x14ac:dyDescent="0.4">
      <c r="A258"/>
      <c r="B258" s="17"/>
      <c r="C258" s="151" t="s">
        <v>261</v>
      </c>
      <c r="D258" s="78"/>
      <c r="E258" s="266">
        <v>1</v>
      </c>
      <c r="F258" s="267"/>
      <c r="G258" s="267"/>
      <c r="H258" s="267"/>
      <c r="I258" s="268"/>
      <c r="J258" s="266">
        <v>1</v>
      </c>
      <c r="K258" s="332"/>
      <c r="L258" s="37"/>
      <c r="M258" s="39"/>
      <c r="N258" s="37"/>
    </row>
    <row r="259" spans="1:14" ht="16" thickBot="1" x14ac:dyDescent="0.4">
      <c r="A259"/>
      <c r="B259" s="17"/>
      <c r="C259" s="152" t="s">
        <v>262</v>
      </c>
      <c r="D259" s="78"/>
      <c r="E259" s="266"/>
      <c r="F259" s="267">
        <v>1</v>
      </c>
      <c r="G259" s="267"/>
      <c r="H259" s="267"/>
      <c r="I259" s="268"/>
      <c r="J259" s="266">
        <v>1</v>
      </c>
      <c r="K259" s="332"/>
      <c r="L259" s="37"/>
      <c r="M259" s="39"/>
      <c r="N259" s="37"/>
    </row>
    <row r="260" spans="1:14" ht="16" thickBot="1" x14ac:dyDescent="0.4">
      <c r="A260"/>
      <c r="B260" s="17"/>
      <c r="C260" s="152" t="s">
        <v>263</v>
      </c>
      <c r="D260" s="78"/>
      <c r="E260" s="266">
        <v>1</v>
      </c>
      <c r="F260" s="267"/>
      <c r="G260" s="267"/>
      <c r="H260" s="267"/>
      <c r="I260" s="268"/>
      <c r="J260" s="266">
        <v>1</v>
      </c>
      <c r="K260" s="332"/>
      <c r="L260" s="37"/>
      <c r="M260" s="39"/>
      <c r="N260" s="37"/>
    </row>
    <row r="261" spans="1:14" ht="18" customHeight="1" thickBot="1" x14ac:dyDescent="0.4">
      <c r="A261"/>
      <c r="B261" s="17"/>
      <c r="C261" s="172" t="s">
        <v>264</v>
      </c>
      <c r="D261" s="78"/>
      <c r="E261" s="266">
        <v>1</v>
      </c>
      <c r="F261" s="267"/>
      <c r="G261" s="267"/>
      <c r="H261" s="267"/>
      <c r="I261" s="268"/>
      <c r="J261" s="266">
        <v>1</v>
      </c>
      <c r="K261" s="332"/>
      <c r="L261" s="37"/>
      <c r="M261" s="39"/>
      <c r="N261" s="37"/>
    </row>
    <row r="262" spans="1:14" ht="18" customHeight="1" thickBot="1" x14ac:dyDescent="0.4">
      <c r="A262"/>
      <c r="B262" s="17"/>
      <c r="C262" s="172" t="s">
        <v>265</v>
      </c>
      <c r="D262" s="78"/>
      <c r="E262" s="266">
        <v>1</v>
      </c>
      <c r="F262" s="267"/>
      <c r="G262" s="267"/>
      <c r="H262" s="267"/>
      <c r="I262" s="268"/>
      <c r="J262" s="266">
        <v>1</v>
      </c>
      <c r="K262" s="332"/>
      <c r="L262" s="37"/>
      <c r="M262" s="39"/>
      <c r="N262" s="37"/>
    </row>
    <row r="263" spans="1:14" ht="18" customHeight="1" thickBot="1" x14ac:dyDescent="0.4">
      <c r="A263"/>
      <c r="B263" s="17"/>
      <c r="C263" s="172" t="s">
        <v>266</v>
      </c>
      <c r="D263" s="78"/>
      <c r="E263" s="266">
        <v>1</v>
      </c>
      <c r="F263" s="267"/>
      <c r="G263" s="267"/>
      <c r="H263" s="267"/>
      <c r="I263" s="268"/>
      <c r="J263" s="266">
        <v>1</v>
      </c>
      <c r="K263" s="332" t="s">
        <v>267</v>
      </c>
      <c r="L263" s="37"/>
      <c r="M263" s="39"/>
      <c r="N263" s="37"/>
    </row>
    <row r="264" spans="1:14" ht="18" customHeight="1" thickBot="1" x14ac:dyDescent="0.4">
      <c r="A264"/>
      <c r="B264" s="17"/>
      <c r="C264" s="172" t="s">
        <v>268</v>
      </c>
      <c r="D264" s="78"/>
      <c r="E264" s="266">
        <v>1</v>
      </c>
      <c r="F264" s="267"/>
      <c r="G264" s="267"/>
      <c r="H264" s="267"/>
      <c r="I264" s="268"/>
      <c r="J264" s="266">
        <v>1</v>
      </c>
      <c r="K264" s="332"/>
      <c r="L264" s="37"/>
      <c r="M264" s="39"/>
      <c r="N264" s="37"/>
    </row>
    <row r="265" spans="1:14" s="74" customFormat="1" ht="102" customHeight="1" thickBot="1" x14ac:dyDescent="0.4">
      <c r="B265" s="75"/>
      <c r="C265" s="152" t="s">
        <v>269</v>
      </c>
      <c r="D265" s="153"/>
      <c r="E265" s="286"/>
      <c r="F265" s="287"/>
      <c r="G265" s="287"/>
      <c r="H265" s="287"/>
      <c r="I265" s="288">
        <v>1</v>
      </c>
      <c r="J265" s="266"/>
      <c r="K265" s="333" t="s">
        <v>270</v>
      </c>
      <c r="L265" s="154"/>
      <c r="M265" s="155"/>
      <c r="N265" s="154"/>
    </row>
    <row r="266" spans="1:14" s="74" customFormat="1" ht="16" thickBot="1" x14ac:dyDescent="0.4">
      <c r="B266" s="75"/>
      <c r="C266" s="173" t="s">
        <v>271</v>
      </c>
      <c r="D266" s="153"/>
      <c r="E266" s="286">
        <v>1</v>
      </c>
      <c r="F266" s="287"/>
      <c r="G266" s="287"/>
      <c r="H266" s="287"/>
      <c r="I266" s="288"/>
      <c r="J266" s="266">
        <v>1</v>
      </c>
      <c r="K266" s="333"/>
      <c r="L266" s="154"/>
      <c r="M266" s="155"/>
      <c r="N266" s="154"/>
    </row>
    <row r="267" spans="1:14" ht="18" customHeight="1" thickBot="1" x14ac:dyDescent="0.4">
      <c r="A267"/>
      <c r="B267" s="17"/>
      <c r="C267" s="99" t="s">
        <v>272</v>
      </c>
      <c r="D267" s="78"/>
      <c r="E267" s="266">
        <v>1</v>
      </c>
      <c r="F267" s="267"/>
      <c r="G267" s="267"/>
      <c r="H267" s="267"/>
      <c r="I267" s="268"/>
      <c r="J267" s="266">
        <v>1</v>
      </c>
      <c r="K267" s="332"/>
      <c r="L267" s="37"/>
      <c r="M267" s="39"/>
      <c r="N267" s="37"/>
    </row>
    <row r="268" spans="1:14" ht="18" customHeight="1" thickBot="1" x14ac:dyDescent="0.4">
      <c r="A268"/>
      <c r="B268" s="17"/>
      <c r="C268" s="99" t="s">
        <v>273</v>
      </c>
      <c r="D268" s="78"/>
      <c r="E268" s="266">
        <v>1</v>
      </c>
      <c r="F268" s="267"/>
      <c r="G268" s="267"/>
      <c r="H268" s="267"/>
      <c r="I268" s="268"/>
      <c r="J268" s="266">
        <v>1</v>
      </c>
      <c r="K268" s="332"/>
      <c r="L268" s="37"/>
      <c r="M268" s="39"/>
      <c r="N268" s="37"/>
    </row>
    <row r="269" spans="1:14" ht="30.75" customHeight="1" thickBot="1" x14ac:dyDescent="0.4">
      <c r="A269"/>
      <c r="B269" s="17"/>
      <c r="C269" s="99" t="s">
        <v>274</v>
      </c>
      <c r="D269" s="78"/>
      <c r="E269" s="266"/>
      <c r="F269" s="267">
        <v>1</v>
      </c>
      <c r="G269" s="267"/>
      <c r="H269" s="267"/>
      <c r="I269" s="268"/>
      <c r="J269" s="266">
        <v>1</v>
      </c>
      <c r="K269" s="333" t="s">
        <v>275</v>
      </c>
      <c r="L269" s="37"/>
      <c r="M269" s="39"/>
      <c r="N269" s="37"/>
    </row>
    <row r="270" spans="1:14" ht="31.5" thickBot="1" x14ac:dyDescent="0.4">
      <c r="A270"/>
      <c r="B270" s="17"/>
      <c r="C270" s="152" t="s">
        <v>276</v>
      </c>
      <c r="D270" s="78"/>
      <c r="E270" s="266"/>
      <c r="F270" s="267">
        <v>1</v>
      </c>
      <c r="G270" s="267"/>
      <c r="H270" s="267"/>
      <c r="I270" s="268"/>
      <c r="J270" s="266">
        <v>1</v>
      </c>
      <c r="K270" s="333" t="s">
        <v>275</v>
      </c>
      <c r="L270" s="37"/>
      <c r="M270" s="39"/>
      <c r="N270" s="37"/>
    </row>
    <row r="271" spans="1:14" ht="90.75" customHeight="1" thickBot="1" x14ac:dyDescent="0.4">
      <c r="A271"/>
      <c r="B271" s="17"/>
      <c r="C271" s="173" t="s">
        <v>277</v>
      </c>
      <c r="D271" s="78"/>
      <c r="E271" s="266">
        <v>1</v>
      </c>
      <c r="F271" s="267"/>
      <c r="G271" s="267"/>
      <c r="H271" s="267"/>
      <c r="I271" s="268"/>
      <c r="J271" s="266">
        <v>1</v>
      </c>
      <c r="K271" s="338" t="s">
        <v>278</v>
      </c>
      <c r="L271" s="37"/>
      <c r="M271" s="39"/>
      <c r="N271" s="37"/>
    </row>
    <row r="272" spans="1:14" ht="45.75" customHeight="1" thickBot="1" x14ac:dyDescent="0.4">
      <c r="A272"/>
      <c r="B272" s="17"/>
      <c r="C272" s="99" t="s">
        <v>279</v>
      </c>
      <c r="D272" s="78"/>
      <c r="E272" s="266"/>
      <c r="F272" s="267">
        <v>1</v>
      </c>
      <c r="G272" s="267"/>
      <c r="H272" s="267"/>
      <c r="I272" s="268"/>
      <c r="J272" s="289">
        <v>1</v>
      </c>
      <c r="K272" s="339" t="s">
        <v>280</v>
      </c>
      <c r="L272" s="37"/>
      <c r="M272" s="39"/>
      <c r="N272" s="37"/>
    </row>
    <row r="273" spans="1:14" ht="29.25" customHeight="1" thickBot="1" x14ac:dyDescent="0.4">
      <c r="A273"/>
      <c r="B273" s="17"/>
      <c r="C273" s="99" t="s">
        <v>281</v>
      </c>
      <c r="D273" s="78"/>
      <c r="E273" s="266"/>
      <c r="F273" s="267">
        <v>1</v>
      </c>
      <c r="G273" s="267"/>
      <c r="H273" s="267"/>
      <c r="I273" s="268"/>
      <c r="J273" s="266">
        <v>1</v>
      </c>
      <c r="K273" s="340" t="s">
        <v>280</v>
      </c>
      <c r="L273" s="37"/>
      <c r="M273" s="39"/>
      <c r="N273" s="37"/>
    </row>
    <row r="274" spans="1:14" ht="75.75" customHeight="1" thickBot="1" x14ac:dyDescent="0.4">
      <c r="A274"/>
      <c r="B274" s="17"/>
      <c r="C274" s="99" t="s">
        <v>282</v>
      </c>
      <c r="D274" s="78"/>
      <c r="E274" s="266">
        <v>1</v>
      </c>
      <c r="F274" s="267"/>
      <c r="G274" s="267"/>
      <c r="H274" s="267"/>
      <c r="I274" s="268"/>
      <c r="J274" s="266">
        <v>1</v>
      </c>
      <c r="K274" s="333" t="s">
        <v>283</v>
      </c>
      <c r="L274" s="37"/>
      <c r="M274" s="39"/>
      <c r="N274" s="37"/>
    </row>
    <row r="275" spans="1:14" ht="33" customHeight="1" thickBot="1" x14ac:dyDescent="0.4">
      <c r="A275"/>
      <c r="B275" s="17"/>
      <c r="C275" s="99" t="s">
        <v>284</v>
      </c>
      <c r="D275" s="78"/>
      <c r="E275" s="266">
        <v>1</v>
      </c>
      <c r="F275" s="267"/>
      <c r="G275" s="267"/>
      <c r="H275" s="267"/>
      <c r="I275" s="268"/>
      <c r="J275" s="266">
        <v>1</v>
      </c>
      <c r="K275" s="332" t="s">
        <v>285</v>
      </c>
      <c r="L275" s="37"/>
      <c r="M275" s="39"/>
      <c r="N275" s="37"/>
    </row>
    <row r="276" spans="1:14" ht="72.75" customHeight="1" thickBot="1" x14ac:dyDescent="0.4">
      <c r="A276"/>
      <c r="B276" s="17"/>
      <c r="C276" s="99" t="s">
        <v>286</v>
      </c>
      <c r="D276" s="78"/>
      <c r="E276" s="266">
        <v>1</v>
      </c>
      <c r="F276" s="267"/>
      <c r="G276" s="267"/>
      <c r="H276" s="267"/>
      <c r="I276" s="268"/>
      <c r="J276" s="266">
        <v>1</v>
      </c>
      <c r="K276" s="333" t="s">
        <v>287</v>
      </c>
      <c r="L276" s="37"/>
      <c r="M276" s="39"/>
      <c r="N276" s="37"/>
    </row>
    <row r="277" spans="1:14" ht="30.75" customHeight="1" thickBot="1" x14ac:dyDescent="0.4">
      <c r="A277"/>
      <c r="B277" s="17"/>
      <c r="C277" s="99" t="s">
        <v>288</v>
      </c>
      <c r="D277" s="78"/>
      <c r="E277" s="266"/>
      <c r="F277" s="267">
        <v>1</v>
      </c>
      <c r="G277" s="267"/>
      <c r="H277" s="267"/>
      <c r="I277" s="268"/>
      <c r="J277" s="266">
        <v>1</v>
      </c>
      <c r="K277" s="333" t="s">
        <v>275</v>
      </c>
      <c r="L277" s="37"/>
      <c r="M277" s="39"/>
      <c r="N277" s="37"/>
    </row>
    <row r="278" spans="1:14" ht="18" customHeight="1" thickBot="1" x14ac:dyDescent="0.4">
      <c r="A278"/>
      <c r="B278" s="17"/>
      <c r="C278" s="99" t="s">
        <v>289</v>
      </c>
      <c r="D278" s="78"/>
      <c r="E278" s="266">
        <v>1</v>
      </c>
      <c r="F278" s="267"/>
      <c r="G278" s="267"/>
      <c r="H278" s="267"/>
      <c r="I278" s="268"/>
      <c r="J278" s="266">
        <v>1</v>
      </c>
      <c r="K278" s="332"/>
      <c r="L278" s="37"/>
      <c r="M278" s="39"/>
      <c r="N278" s="37"/>
    </row>
    <row r="279" spans="1:14" ht="18" customHeight="1" thickBot="1" x14ac:dyDescent="0.4">
      <c r="A279"/>
      <c r="B279" s="17"/>
      <c r="C279" s="150" t="s">
        <v>290</v>
      </c>
      <c r="D279" s="78"/>
      <c r="E279" s="266">
        <v>1</v>
      </c>
      <c r="F279" s="267"/>
      <c r="G279" s="267"/>
      <c r="H279" s="267"/>
      <c r="I279" s="268"/>
      <c r="J279" s="266">
        <v>1</v>
      </c>
      <c r="K279" s="332"/>
      <c r="L279" s="37"/>
      <c r="M279" s="39"/>
      <c r="N279" s="37"/>
    </row>
    <row r="280" spans="1:14" ht="18" customHeight="1" thickBot="1" x14ac:dyDescent="0.4">
      <c r="A280"/>
      <c r="B280" s="17"/>
      <c r="C280" s="150" t="s">
        <v>291</v>
      </c>
      <c r="D280" s="78"/>
      <c r="E280" s="266">
        <v>1</v>
      </c>
      <c r="F280" s="267"/>
      <c r="G280" s="267"/>
      <c r="H280" s="267"/>
      <c r="I280" s="290"/>
      <c r="J280" s="266">
        <v>1</v>
      </c>
      <c r="K280" s="332"/>
      <c r="L280" s="37"/>
      <c r="M280" s="39"/>
      <c r="N280" s="37"/>
    </row>
    <row r="281" spans="1:14" ht="18" customHeight="1" thickBot="1" x14ac:dyDescent="0.4">
      <c r="A281"/>
      <c r="B281" s="17"/>
      <c r="C281" s="80"/>
      <c r="D281" s="78"/>
      <c r="E281" s="291"/>
      <c r="F281" s="292"/>
      <c r="G281" s="292"/>
      <c r="H281" s="292"/>
      <c r="I281" s="293"/>
      <c r="J281" s="293"/>
      <c r="K281" s="341"/>
      <c r="L281" s="37"/>
      <c r="M281" s="39"/>
      <c r="N281" s="37"/>
    </row>
    <row r="282" spans="1:14" ht="20.149999999999999" customHeight="1" x14ac:dyDescent="0.35">
      <c r="A282"/>
      <c r="B282" s="17"/>
      <c r="C282" s="28"/>
      <c r="D282" s="39"/>
      <c r="E282" s="195">
        <f t="shared" ref="E282:J282" si="3">SUM(E250:E281)</f>
        <v>21</v>
      </c>
      <c r="F282" s="195">
        <f t="shared" si="3"/>
        <v>9</v>
      </c>
      <c r="G282" s="195">
        <f t="shared" si="3"/>
        <v>0</v>
      </c>
      <c r="H282" s="195">
        <f t="shared" si="3"/>
        <v>0</v>
      </c>
      <c r="I282" s="195">
        <f t="shared" si="3"/>
        <v>1</v>
      </c>
      <c r="J282" s="195">
        <f t="shared" si="3"/>
        <v>27</v>
      </c>
      <c r="K282" s="335"/>
      <c r="L282" s="37"/>
      <c r="M282" s="39"/>
      <c r="N282" s="37"/>
    </row>
    <row r="283" spans="1:14" ht="20.149999999999999" customHeight="1" x14ac:dyDescent="0.35">
      <c r="A283"/>
      <c r="B283" s="17"/>
      <c r="C283" s="28"/>
      <c r="D283" s="24"/>
      <c r="E283" s="284"/>
      <c r="F283" s="284"/>
      <c r="G283" s="284"/>
      <c r="H283" s="284"/>
      <c r="I283" s="284"/>
      <c r="J283" s="284"/>
      <c r="K283" s="335"/>
      <c r="L283" s="37"/>
      <c r="M283" s="39"/>
      <c r="N283" s="37"/>
    </row>
    <row r="284" spans="1:14" ht="22" customHeight="1" x14ac:dyDescent="0.35">
      <c r="A284"/>
      <c r="B284" s="117">
        <v>1.5</v>
      </c>
      <c r="C284" s="100" t="s">
        <v>292</v>
      </c>
      <c r="D284" s="67"/>
      <c r="E284" s="208"/>
      <c r="F284" s="208"/>
      <c r="G284" s="208"/>
      <c r="H284" s="208"/>
      <c r="I284" s="208"/>
      <c r="J284" s="208"/>
      <c r="K284" s="336"/>
      <c r="L284" s="37"/>
      <c r="M284" s="39"/>
      <c r="N284" s="37"/>
    </row>
    <row r="285" spans="1:14" ht="22" customHeight="1" thickBot="1" x14ac:dyDescent="0.4">
      <c r="A285"/>
      <c r="B285" s="62"/>
      <c r="C285" s="63"/>
      <c r="D285" s="39"/>
      <c r="E285" s="209"/>
      <c r="F285" s="209"/>
      <c r="G285" s="209"/>
      <c r="H285" s="209"/>
      <c r="I285" s="209"/>
      <c r="J285" s="209"/>
      <c r="K285" s="342"/>
      <c r="L285" s="37"/>
      <c r="M285" s="39"/>
      <c r="N285" s="37"/>
    </row>
    <row r="286" spans="1:14" ht="22" customHeight="1" x14ac:dyDescent="0.35">
      <c r="A286"/>
      <c r="B286" s="7"/>
      <c r="C286" s="68" t="s">
        <v>38</v>
      </c>
      <c r="D286" s="24"/>
      <c r="E286" s="198" t="s">
        <v>20</v>
      </c>
      <c r="F286" s="198" t="s">
        <v>24</v>
      </c>
      <c r="G286" s="198" t="s">
        <v>27</v>
      </c>
      <c r="H286" s="198" t="s">
        <v>29</v>
      </c>
      <c r="I286" s="199" t="s">
        <v>32</v>
      </c>
      <c r="J286" s="200" t="s">
        <v>35</v>
      </c>
      <c r="K286" s="331" t="s">
        <v>39</v>
      </c>
      <c r="L286" s="37"/>
      <c r="M286" s="39"/>
      <c r="N286" s="37"/>
    </row>
    <row r="287" spans="1:14" ht="18" customHeight="1" x14ac:dyDescent="0.35">
      <c r="A287"/>
      <c r="B287" s="7"/>
      <c r="C287" s="47" t="s">
        <v>293</v>
      </c>
      <c r="D287" s="58"/>
      <c r="E287" s="294">
        <v>1</v>
      </c>
      <c r="F287" s="295"/>
      <c r="G287" s="295"/>
      <c r="H287" s="295"/>
      <c r="I287" s="295"/>
      <c r="J287" s="266">
        <v>1</v>
      </c>
      <c r="K287" s="343"/>
      <c r="L287" s="37"/>
      <c r="M287" s="39"/>
      <c r="N287" s="37"/>
    </row>
    <row r="288" spans="1:14" ht="18" customHeight="1" x14ac:dyDescent="0.35">
      <c r="A288"/>
      <c r="B288" s="7"/>
      <c r="C288" s="47" t="s">
        <v>294</v>
      </c>
      <c r="D288" s="58"/>
      <c r="E288" s="296">
        <v>1</v>
      </c>
      <c r="F288" s="274"/>
      <c r="G288" s="274"/>
      <c r="H288" s="274"/>
      <c r="I288" s="274"/>
      <c r="J288" s="266">
        <v>1</v>
      </c>
      <c r="K288" s="344"/>
      <c r="L288" s="37"/>
      <c r="M288" s="39"/>
      <c r="N288" s="37"/>
    </row>
    <row r="289" spans="1:14" ht="18" customHeight="1" x14ac:dyDescent="0.35">
      <c r="A289"/>
      <c r="B289" s="7"/>
      <c r="C289" s="47" t="s">
        <v>295</v>
      </c>
      <c r="D289" s="58"/>
      <c r="E289" s="297">
        <v>1</v>
      </c>
      <c r="F289" s="271"/>
      <c r="G289" s="271"/>
      <c r="H289" s="271"/>
      <c r="I289" s="274"/>
      <c r="J289" s="266">
        <v>1</v>
      </c>
      <c r="K289" s="345"/>
      <c r="L289" s="37"/>
      <c r="M289" s="39"/>
      <c r="N289" s="37"/>
    </row>
    <row r="290" spans="1:14" ht="18" customHeight="1" x14ac:dyDescent="0.35">
      <c r="A290"/>
      <c r="B290" s="7"/>
      <c r="C290" s="47" t="s">
        <v>296</v>
      </c>
      <c r="D290" s="58"/>
      <c r="E290" s="276">
        <v>1</v>
      </c>
      <c r="F290" s="298"/>
      <c r="G290" s="298"/>
      <c r="H290" s="269"/>
      <c r="I290" s="274"/>
      <c r="J290" s="289">
        <v>1</v>
      </c>
      <c r="K290" s="346" t="s">
        <v>297</v>
      </c>
      <c r="L290" s="37"/>
      <c r="M290" s="39"/>
      <c r="N290" s="37"/>
    </row>
    <row r="291" spans="1:14" ht="18" customHeight="1" x14ac:dyDescent="0.35">
      <c r="A291"/>
      <c r="B291" s="7"/>
      <c r="C291" s="66" t="s">
        <v>268</v>
      </c>
      <c r="D291" s="58"/>
      <c r="E291" s="276">
        <v>1</v>
      </c>
      <c r="F291" s="298"/>
      <c r="G291" s="298"/>
      <c r="H291" s="269"/>
      <c r="I291" s="299"/>
      <c r="J291" s="300">
        <v>1</v>
      </c>
      <c r="K291" s="347"/>
      <c r="L291" s="37"/>
      <c r="M291" s="39"/>
      <c r="N291" s="37"/>
    </row>
    <row r="292" spans="1:14" ht="18" customHeight="1" x14ac:dyDescent="0.35">
      <c r="A292"/>
      <c r="B292" s="7"/>
      <c r="C292" s="47" t="s">
        <v>298</v>
      </c>
      <c r="D292" s="58"/>
      <c r="E292" s="276"/>
      <c r="F292" s="298"/>
      <c r="G292" s="298"/>
      <c r="H292" s="269"/>
      <c r="I292" s="274">
        <v>1</v>
      </c>
      <c r="J292" s="301"/>
      <c r="K292" s="348" t="s">
        <v>299</v>
      </c>
      <c r="L292" s="37"/>
      <c r="M292" s="39"/>
      <c r="N292" s="37"/>
    </row>
    <row r="293" spans="1:14" ht="18" customHeight="1" x14ac:dyDescent="0.35">
      <c r="A293"/>
      <c r="B293" s="7"/>
      <c r="C293" s="47" t="s">
        <v>300</v>
      </c>
      <c r="D293" s="58"/>
      <c r="E293" s="276">
        <v>1</v>
      </c>
      <c r="F293" s="298"/>
      <c r="G293" s="298"/>
      <c r="H293" s="268"/>
      <c r="I293" s="271"/>
      <c r="J293" s="266">
        <v>1</v>
      </c>
      <c r="K293" s="348"/>
      <c r="L293" s="37"/>
      <c r="M293" s="39"/>
      <c r="N293" s="37"/>
    </row>
    <row r="294" spans="1:14" ht="18" customHeight="1" x14ac:dyDescent="0.35">
      <c r="A294"/>
      <c r="B294" s="7"/>
      <c r="C294" s="47" t="s">
        <v>301</v>
      </c>
      <c r="D294" s="58"/>
      <c r="E294" s="276">
        <v>1</v>
      </c>
      <c r="F294" s="298"/>
      <c r="G294" s="298"/>
      <c r="H294" s="298"/>
      <c r="I294" s="269"/>
      <c r="J294" s="266">
        <v>1</v>
      </c>
      <c r="K294" s="348"/>
      <c r="L294" s="37"/>
      <c r="M294" s="39"/>
      <c r="N294" s="37"/>
    </row>
    <row r="295" spans="1:14" ht="18" customHeight="1" x14ac:dyDescent="0.35">
      <c r="A295"/>
      <c r="B295" s="7"/>
      <c r="C295" s="47" t="s">
        <v>302</v>
      </c>
      <c r="D295" s="58"/>
      <c r="E295" s="276"/>
      <c r="F295" s="298">
        <v>1</v>
      </c>
      <c r="G295" s="298"/>
      <c r="H295" s="298"/>
      <c r="I295" s="269"/>
      <c r="J295" s="266">
        <v>1</v>
      </c>
      <c r="K295" s="348"/>
      <c r="L295" s="37"/>
      <c r="M295" s="39"/>
      <c r="N295" s="37"/>
    </row>
    <row r="296" spans="1:14" ht="18" customHeight="1" x14ac:dyDescent="0.35">
      <c r="A296"/>
      <c r="B296" s="7"/>
      <c r="C296" s="47" t="s">
        <v>303</v>
      </c>
      <c r="D296" s="58"/>
      <c r="E296" s="276">
        <v>1</v>
      </c>
      <c r="F296" s="298"/>
      <c r="G296" s="298"/>
      <c r="H296" s="298"/>
      <c r="I296" s="269"/>
      <c r="J296" s="266">
        <v>1</v>
      </c>
      <c r="K296" s="348"/>
      <c r="L296" s="37"/>
      <c r="M296" s="39"/>
      <c r="N296" s="37"/>
    </row>
    <row r="297" spans="1:14" ht="18" customHeight="1" x14ac:dyDescent="0.35">
      <c r="A297"/>
      <c r="B297" s="7"/>
      <c r="C297" s="48" t="s">
        <v>304</v>
      </c>
      <c r="D297" s="58"/>
      <c r="E297" s="276">
        <v>1</v>
      </c>
      <c r="F297" s="298"/>
      <c r="G297" s="298"/>
      <c r="H297" s="298"/>
      <c r="I297" s="269"/>
      <c r="J297" s="266">
        <v>1</v>
      </c>
      <c r="K297" s="348"/>
      <c r="L297" s="37"/>
      <c r="M297" s="39"/>
      <c r="N297" s="37"/>
    </row>
    <row r="298" spans="1:14" ht="18" customHeight="1" x14ac:dyDescent="0.35">
      <c r="A298"/>
      <c r="B298" s="7"/>
      <c r="C298" s="48" t="s">
        <v>305</v>
      </c>
      <c r="D298" s="58"/>
      <c r="E298" s="276">
        <v>1</v>
      </c>
      <c r="F298" s="298"/>
      <c r="G298" s="298"/>
      <c r="H298" s="298"/>
      <c r="I298" s="269"/>
      <c r="J298" s="266">
        <v>1</v>
      </c>
      <c r="K298" s="348"/>
      <c r="L298" s="37"/>
      <c r="M298" s="39"/>
      <c r="N298" s="37"/>
    </row>
    <row r="299" spans="1:14" ht="18" customHeight="1" x14ac:dyDescent="0.35">
      <c r="A299"/>
      <c r="B299" s="7"/>
      <c r="C299" s="48" t="s">
        <v>306</v>
      </c>
      <c r="D299" s="58"/>
      <c r="E299" s="276">
        <v>1</v>
      </c>
      <c r="F299" s="298"/>
      <c r="G299" s="298"/>
      <c r="H299" s="298"/>
      <c r="I299" s="269"/>
      <c r="J299" s="266">
        <v>1</v>
      </c>
      <c r="K299" s="348"/>
      <c r="L299" s="37"/>
      <c r="M299" s="39"/>
      <c r="N299" s="37"/>
    </row>
    <row r="300" spans="1:14" ht="18" customHeight="1" x14ac:dyDescent="0.35">
      <c r="A300"/>
      <c r="B300" s="7"/>
      <c r="C300" s="47" t="s">
        <v>273</v>
      </c>
      <c r="D300" s="58"/>
      <c r="E300" s="276">
        <v>1</v>
      </c>
      <c r="F300" s="298"/>
      <c r="G300" s="298"/>
      <c r="H300" s="302"/>
      <c r="I300" s="271"/>
      <c r="J300" s="266">
        <v>1</v>
      </c>
      <c r="K300" s="348"/>
      <c r="L300" s="37"/>
      <c r="M300" s="39"/>
      <c r="N300" s="37"/>
    </row>
    <row r="301" spans="1:14" ht="18" customHeight="1" x14ac:dyDescent="0.35">
      <c r="A301"/>
      <c r="B301" s="7"/>
      <c r="C301" s="47" t="s">
        <v>307</v>
      </c>
      <c r="D301" s="58"/>
      <c r="E301" s="276">
        <v>1</v>
      </c>
      <c r="F301" s="298"/>
      <c r="G301" s="298"/>
      <c r="H301" s="302"/>
      <c r="I301" s="273"/>
      <c r="J301" s="266">
        <v>1</v>
      </c>
      <c r="K301" s="348"/>
      <c r="L301" s="37"/>
      <c r="M301" s="39"/>
      <c r="N301" s="37"/>
    </row>
    <row r="302" spans="1:14" ht="102" customHeight="1" x14ac:dyDescent="0.35">
      <c r="A302"/>
      <c r="B302" s="7"/>
      <c r="C302" s="229" t="s">
        <v>308</v>
      </c>
      <c r="D302" s="58"/>
      <c r="E302" s="276">
        <v>1</v>
      </c>
      <c r="F302" s="298"/>
      <c r="G302" s="298"/>
      <c r="H302" s="302"/>
      <c r="I302" s="273"/>
      <c r="J302" s="266">
        <v>1</v>
      </c>
      <c r="K302" s="338" t="s">
        <v>278</v>
      </c>
      <c r="L302" s="37"/>
      <c r="M302" s="39"/>
      <c r="N302" s="37"/>
    </row>
    <row r="303" spans="1:14" ht="18" customHeight="1" x14ac:dyDescent="0.35">
      <c r="A303"/>
      <c r="B303" s="7"/>
      <c r="C303" s="47" t="s">
        <v>309</v>
      </c>
      <c r="D303" s="58"/>
      <c r="E303" s="276">
        <v>1</v>
      </c>
      <c r="F303" s="298"/>
      <c r="G303" s="298"/>
      <c r="H303" s="302"/>
      <c r="I303" s="273"/>
      <c r="J303" s="266">
        <v>1</v>
      </c>
      <c r="K303" s="348"/>
      <c r="L303" s="37"/>
      <c r="M303" s="39"/>
      <c r="N303" s="37"/>
    </row>
    <row r="304" spans="1:14" ht="18" customHeight="1" x14ac:dyDescent="0.35">
      <c r="A304"/>
      <c r="B304" s="7"/>
      <c r="C304" s="47" t="s">
        <v>310</v>
      </c>
      <c r="D304" s="58"/>
      <c r="E304" s="276">
        <v>1</v>
      </c>
      <c r="F304" s="298"/>
      <c r="G304" s="298"/>
      <c r="H304" s="302"/>
      <c r="I304" s="273"/>
      <c r="J304" s="266">
        <v>1</v>
      </c>
      <c r="K304" s="348"/>
      <c r="L304" s="37"/>
      <c r="M304" s="39"/>
      <c r="N304" s="37"/>
    </row>
    <row r="305" spans="1:14" ht="18" customHeight="1" x14ac:dyDescent="0.35">
      <c r="A305"/>
      <c r="B305" s="7"/>
      <c r="C305" s="47" t="s">
        <v>311</v>
      </c>
      <c r="D305" s="58"/>
      <c r="E305" s="276">
        <v>1</v>
      </c>
      <c r="F305" s="298"/>
      <c r="G305" s="298"/>
      <c r="H305" s="302"/>
      <c r="I305" s="273"/>
      <c r="J305" s="266">
        <v>1</v>
      </c>
      <c r="K305" s="348"/>
      <c r="L305" s="37"/>
      <c r="M305" s="39"/>
      <c r="N305" s="37"/>
    </row>
    <row r="306" spans="1:14" ht="18" customHeight="1" x14ac:dyDescent="0.35">
      <c r="A306"/>
      <c r="B306" s="7"/>
      <c r="C306" s="47" t="s">
        <v>312</v>
      </c>
      <c r="D306" s="58"/>
      <c r="E306" s="276">
        <v>1</v>
      </c>
      <c r="F306" s="298"/>
      <c r="G306" s="298"/>
      <c r="H306" s="302"/>
      <c r="I306" s="273"/>
      <c r="J306" s="266">
        <v>1</v>
      </c>
      <c r="K306" s="348"/>
      <c r="L306" s="37"/>
      <c r="M306" s="39"/>
      <c r="N306" s="37"/>
    </row>
    <row r="307" spans="1:14" ht="18" customHeight="1" x14ac:dyDescent="0.35">
      <c r="A307"/>
      <c r="B307" s="7"/>
      <c r="C307" s="48" t="s">
        <v>313</v>
      </c>
      <c r="D307" s="58"/>
      <c r="E307" s="276">
        <v>1</v>
      </c>
      <c r="F307" s="298"/>
      <c r="G307" s="298"/>
      <c r="H307" s="302"/>
      <c r="I307" s="273"/>
      <c r="J307" s="266">
        <v>1</v>
      </c>
      <c r="K307" s="348"/>
      <c r="L307" s="37"/>
      <c r="M307" s="39"/>
      <c r="N307" s="37"/>
    </row>
    <row r="308" spans="1:14" ht="18" customHeight="1" x14ac:dyDescent="0.35">
      <c r="A308"/>
      <c r="B308" s="7"/>
      <c r="C308" s="48" t="s">
        <v>314</v>
      </c>
      <c r="D308" s="58"/>
      <c r="E308" s="276">
        <v>1</v>
      </c>
      <c r="F308" s="298"/>
      <c r="G308" s="298"/>
      <c r="H308" s="302"/>
      <c r="I308" s="273"/>
      <c r="J308" s="266">
        <v>1</v>
      </c>
      <c r="K308" s="348"/>
      <c r="L308" s="37"/>
      <c r="M308" s="39"/>
      <c r="N308" s="37"/>
    </row>
    <row r="309" spans="1:14" ht="18" customHeight="1" x14ac:dyDescent="0.35">
      <c r="A309"/>
      <c r="B309" s="7"/>
      <c r="C309" s="49" t="s">
        <v>315</v>
      </c>
      <c r="D309" s="58"/>
      <c r="E309" s="276">
        <v>1</v>
      </c>
      <c r="F309" s="298"/>
      <c r="G309" s="298"/>
      <c r="H309" s="302"/>
      <c r="I309" s="273"/>
      <c r="J309" s="266">
        <v>1</v>
      </c>
      <c r="K309" s="348"/>
      <c r="L309" s="37"/>
      <c r="M309" s="39"/>
      <c r="N309" s="37"/>
    </row>
    <row r="310" spans="1:14" ht="18" customHeight="1" x14ac:dyDescent="0.35">
      <c r="A310"/>
      <c r="B310" s="7"/>
      <c r="C310" s="49" t="s">
        <v>316</v>
      </c>
      <c r="D310" s="58"/>
      <c r="E310" s="276">
        <v>1</v>
      </c>
      <c r="F310" s="298"/>
      <c r="G310" s="298"/>
      <c r="H310" s="302"/>
      <c r="I310" s="273"/>
      <c r="J310" s="266">
        <v>1</v>
      </c>
      <c r="K310" s="348"/>
      <c r="L310" s="37"/>
      <c r="M310" s="39"/>
      <c r="N310" s="37"/>
    </row>
    <row r="311" spans="1:14" ht="18" customHeight="1" x14ac:dyDescent="0.35">
      <c r="A311"/>
      <c r="B311" s="7"/>
      <c r="C311" s="48" t="s">
        <v>317</v>
      </c>
      <c r="D311" s="58"/>
      <c r="E311" s="276">
        <v>1</v>
      </c>
      <c r="F311" s="298"/>
      <c r="G311" s="298"/>
      <c r="H311" s="302"/>
      <c r="I311" s="273"/>
      <c r="J311" s="266">
        <v>1</v>
      </c>
      <c r="K311" s="348"/>
      <c r="L311" s="37"/>
      <c r="M311" s="39"/>
      <c r="N311" s="37"/>
    </row>
    <row r="312" spans="1:14" ht="18" customHeight="1" x14ac:dyDescent="0.35">
      <c r="A312"/>
      <c r="B312" s="7"/>
      <c r="C312" s="48" t="s">
        <v>318</v>
      </c>
      <c r="D312" s="58"/>
      <c r="E312" s="276">
        <v>1</v>
      </c>
      <c r="F312" s="298"/>
      <c r="G312" s="298"/>
      <c r="H312" s="302"/>
      <c r="I312" s="273"/>
      <c r="J312" s="266">
        <v>1</v>
      </c>
      <c r="K312" s="348"/>
      <c r="L312" s="37"/>
      <c r="M312" s="39"/>
      <c r="N312" s="37"/>
    </row>
    <row r="313" spans="1:14" ht="18" customHeight="1" x14ac:dyDescent="0.35">
      <c r="A313"/>
      <c r="B313" s="7"/>
      <c r="C313" s="48" t="s">
        <v>319</v>
      </c>
      <c r="D313" s="58"/>
      <c r="E313" s="276">
        <v>1</v>
      </c>
      <c r="F313" s="298"/>
      <c r="G313" s="298"/>
      <c r="H313" s="302"/>
      <c r="I313" s="273"/>
      <c r="J313" s="266">
        <v>1</v>
      </c>
      <c r="K313" s="348"/>
      <c r="L313" s="37"/>
      <c r="M313" s="39"/>
      <c r="N313" s="37"/>
    </row>
    <row r="314" spans="1:14" ht="18" customHeight="1" x14ac:dyDescent="0.35">
      <c r="A314"/>
      <c r="B314" s="7"/>
      <c r="C314" s="48" t="s">
        <v>320</v>
      </c>
      <c r="D314" s="58"/>
      <c r="E314" s="276">
        <v>1</v>
      </c>
      <c r="F314" s="298"/>
      <c r="G314" s="298"/>
      <c r="H314" s="302"/>
      <c r="I314" s="273"/>
      <c r="J314" s="266">
        <v>1</v>
      </c>
      <c r="K314" s="348"/>
      <c r="L314" s="37"/>
      <c r="M314" s="39"/>
      <c r="N314" s="37"/>
    </row>
    <row r="315" spans="1:14" ht="15.5" x14ac:dyDescent="0.35">
      <c r="A315"/>
      <c r="B315" s="7"/>
      <c r="C315" s="156" t="s">
        <v>321</v>
      </c>
      <c r="D315" s="58"/>
      <c r="E315" s="276">
        <v>1</v>
      </c>
      <c r="F315" s="298"/>
      <c r="G315" s="298"/>
      <c r="H315" s="302"/>
      <c r="I315" s="273"/>
      <c r="J315" s="266">
        <v>1</v>
      </c>
      <c r="K315" s="348"/>
      <c r="L315" s="37"/>
      <c r="M315" s="39"/>
      <c r="N315" s="37"/>
    </row>
    <row r="316" spans="1:14" ht="15.5" x14ac:dyDescent="0.35">
      <c r="A316"/>
      <c r="B316" s="7"/>
      <c r="C316" s="47" t="s">
        <v>322</v>
      </c>
      <c r="D316" s="58"/>
      <c r="E316" s="276">
        <v>1</v>
      </c>
      <c r="F316" s="298"/>
      <c r="G316" s="298"/>
      <c r="H316" s="302"/>
      <c r="I316" s="273"/>
      <c r="J316" s="266">
        <v>1</v>
      </c>
      <c r="K316" s="348"/>
      <c r="L316" s="37"/>
      <c r="M316" s="39"/>
      <c r="N316" s="37"/>
    </row>
    <row r="317" spans="1:14" ht="18" customHeight="1" x14ac:dyDescent="0.35">
      <c r="A317"/>
      <c r="B317" s="7"/>
      <c r="C317" s="48" t="s">
        <v>323</v>
      </c>
      <c r="D317" s="58"/>
      <c r="E317" s="276">
        <v>1</v>
      </c>
      <c r="F317" s="298"/>
      <c r="G317" s="298"/>
      <c r="H317" s="302"/>
      <c r="I317" s="273"/>
      <c r="J317" s="266">
        <v>1</v>
      </c>
      <c r="K317" s="348"/>
      <c r="L317" s="37"/>
      <c r="M317" s="39"/>
      <c r="N317" s="37"/>
    </row>
    <row r="318" spans="1:14" ht="18" customHeight="1" x14ac:dyDescent="0.35">
      <c r="A318"/>
      <c r="B318" s="7"/>
      <c r="C318" s="48" t="s">
        <v>324</v>
      </c>
      <c r="D318" s="58"/>
      <c r="E318" s="276">
        <v>1</v>
      </c>
      <c r="F318" s="298"/>
      <c r="G318" s="298"/>
      <c r="H318" s="302"/>
      <c r="I318" s="273"/>
      <c r="J318" s="266">
        <v>1</v>
      </c>
      <c r="K318" s="348"/>
      <c r="L318" s="37"/>
      <c r="M318" s="39"/>
      <c r="N318" s="37"/>
    </row>
    <row r="319" spans="1:14" ht="18" customHeight="1" x14ac:dyDescent="0.35">
      <c r="A319"/>
      <c r="B319" s="7"/>
      <c r="C319" s="48" t="s">
        <v>325</v>
      </c>
      <c r="D319" s="58"/>
      <c r="E319" s="276">
        <v>1</v>
      </c>
      <c r="F319" s="298"/>
      <c r="G319" s="298"/>
      <c r="H319" s="302"/>
      <c r="I319" s="273"/>
      <c r="J319" s="266">
        <v>1</v>
      </c>
      <c r="K319" s="348"/>
      <c r="L319" s="37"/>
      <c r="M319" s="39"/>
      <c r="N319" s="37"/>
    </row>
    <row r="320" spans="1:14" ht="15.5" x14ac:dyDescent="0.35">
      <c r="A320"/>
      <c r="B320" s="7"/>
      <c r="C320" s="156" t="s">
        <v>326</v>
      </c>
      <c r="D320" s="58"/>
      <c r="E320" s="276">
        <v>1</v>
      </c>
      <c r="F320" s="298"/>
      <c r="G320" s="298"/>
      <c r="H320" s="302"/>
      <c r="I320" s="273"/>
      <c r="J320" s="266">
        <v>1</v>
      </c>
      <c r="K320" s="348"/>
      <c r="L320" s="37"/>
      <c r="M320" s="39"/>
      <c r="N320" s="37"/>
    </row>
    <row r="321" spans="1:14" ht="18" customHeight="1" x14ac:dyDescent="0.35">
      <c r="A321"/>
      <c r="B321" s="7"/>
      <c r="C321" s="48" t="s">
        <v>327</v>
      </c>
      <c r="D321" s="58"/>
      <c r="E321" s="276">
        <v>1</v>
      </c>
      <c r="F321" s="298"/>
      <c r="G321" s="298"/>
      <c r="H321" s="302"/>
      <c r="I321" s="273"/>
      <c r="J321" s="266">
        <v>1</v>
      </c>
      <c r="K321" s="348"/>
      <c r="L321" s="37"/>
      <c r="M321" s="39"/>
      <c r="N321" s="37"/>
    </row>
    <row r="322" spans="1:14" ht="18" customHeight="1" x14ac:dyDescent="0.35">
      <c r="A322"/>
      <c r="B322" s="7"/>
      <c r="C322" s="157" t="s">
        <v>328</v>
      </c>
      <c r="D322" s="58"/>
      <c r="E322" s="276">
        <v>1</v>
      </c>
      <c r="F322" s="298"/>
      <c r="G322" s="298"/>
      <c r="H322" s="302"/>
      <c r="I322" s="273"/>
      <c r="J322" s="266">
        <v>1</v>
      </c>
      <c r="K322" s="348"/>
      <c r="L322" s="37"/>
      <c r="M322" s="39"/>
      <c r="N322" s="37"/>
    </row>
    <row r="323" spans="1:14" ht="18" customHeight="1" x14ac:dyDescent="0.35">
      <c r="A323"/>
      <c r="B323" s="7"/>
      <c r="C323" s="47" t="s">
        <v>329</v>
      </c>
      <c r="D323" s="58"/>
      <c r="E323" s="276">
        <v>1</v>
      </c>
      <c r="F323" s="298"/>
      <c r="G323" s="298"/>
      <c r="H323" s="302"/>
      <c r="I323" s="273"/>
      <c r="J323" s="266">
        <v>1</v>
      </c>
      <c r="K323" s="348"/>
      <c r="L323" s="37"/>
      <c r="M323" s="39"/>
      <c r="N323" s="37"/>
    </row>
    <row r="324" spans="1:14" ht="18" customHeight="1" x14ac:dyDescent="0.35">
      <c r="A324"/>
      <c r="B324" s="7"/>
      <c r="C324" s="157" t="s">
        <v>236</v>
      </c>
      <c r="D324" s="58"/>
      <c r="E324" s="276">
        <v>1</v>
      </c>
      <c r="F324" s="298"/>
      <c r="G324" s="298"/>
      <c r="H324" s="302"/>
      <c r="I324" s="273"/>
      <c r="J324" s="266">
        <v>1</v>
      </c>
      <c r="K324" s="348"/>
      <c r="L324" s="37"/>
      <c r="M324" s="39"/>
      <c r="N324" s="37"/>
    </row>
    <row r="325" spans="1:14" ht="18" customHeight="1" x14ac:dyDescent="0.35">
      <c r="A325"/>
      <c r="B325" s="7"/>
      <c r="C325" s="48" t="s">
        <v>237</v>
      </c>
      <c r="D325" s="58"/>
      <c r="E325" s="276">
        <v>1</v>
      </c>
      <c r="F325" s="298"/>
      <c r="G325" s="298"/>
      <c r="H325" s="302"/>
      <c r="I325" s="273"/>
      <c r="J325" s="266">
        <v>1</v>
      </c>
      <c r="K325" s="348"/>
      <c r="L325" s="37"/>
      <c r="M325" s="39"/>
      <c r="N325" s="37"/>
    </row>
    <row r="326" spans="1:14" ht="18" customHeight="1" x14ac:dyDescent="0.35">
      <c r="A326"/>
      <c r="B326" s="7"/>
      <c r="C326" s="48" t="s">
        <v>238</v>
      </c>
      <c r="D326" s="58"/>
      <c r="E326" s="276">
        <v>1</v>
      </c>
      <c r="F326" s="298"/>
      <c r="G326" s="298"/>
      <c r="H326" s="302"/>
      <c r="I326" s="273"/>
      <c r="J326" s="266">
        <v>1</v>
      </c>
      <c r="K326" s="348"/>
      <c r="L326" s="37"/>
      <c r="M326" s="39"/>
      <c r="N326" s="37"/>
    </row>
    <row r="327" spans="1:14" ht="18" customHeight="1" x14ac:dyDescent="0.35">
      <c r="A327"/>
      <c r="B327" s="7"/>
      <c r="C327" s="48" t="s">
        <v>239</v>
      </c>
      <c r="D327" s="58"/>
      <c r="E327" s="276">
        <v>1</v>
      </c>
      <c r="F327" s="298"/>
      <c r="G327" s="298"/>
      <c r="H327" s="302"/>
      <c r="I327" s="279"/>
      <c r="J327" s="266">
        <v>1</v>
      </c>
      <c r="K327" s="348"/>
      <c r="L327" s="37"/>
      <c r="M327" s="39"/>
      <c r="N327" s="37"/>
    </row>
    <row r="328" spans="1:14" ht="18" customHeight="1" x14ac:dyDescent="0.35">
      <c r="A328"/>
      <c r="B328" s="7"/>
      <c r="C328" s="48" t="s">
        <v>240</v>
      </c>
      <c r="D328" s="58"/>
      <c r="E328" s="276">
        <v>1</v>
      </c>
      <c r="F328" s="298"/>
      <c r="G328" s="298"/>
      <c r="H328" s="298"/>
      <c r="I328" s="303"/>
      <c r="J328" s="266">
        <v>1</v>
      </c>
      <c r="K328" s="348"/>
      <c r="L328" s="37"/>
      <c r="M328" s="39"/>
      <c r="N328" s="37"/>
    </row>
    <row r="329" spans="1:14" ht="18" customHeight="1" x14ac:dyDescent="0.35">
      <c r="A329"/>
      <c r="B329" s="7"/>
      <c r="C329" s="48" t="s">
        <v>241</v>
      </c>
      <c r="D329" s="58"/>
      <c r="E329" s="276">
        <v>1</v>
      </c>
      <c r="F329" s="298"/>
      <c r="G329" s="298"/>
      <c r="H329" s="298"/>
      <c r="I329" s="269"/>
      <c r="J329" s="266">
        <v>1</v>
      </c>
      <c r="K329" s="348"/>
      <c r="L329" s="37"/>
      <c r="M329" s="39"/>
      <c r="N329" s="37"/>
    </row>
    <row r="330" spans="1:14" ht="18" customHeight="1" x14ac:dyDescent="0.35">
      <c r="A330"/>
      <c r="B330" s="7"/>
      <c r="C330" s="48" t="s">
        <v>242</v>
      </c>
      <c r="D330" s="58"/>
      <c r="E330" s="276">
        <v>1</v>
      </c>
      <c r="F330" s="298"/>
      <c r="G330" s="298"/>
      <c r="H330" s="298"/>
      <c r="I330" s="269"/>
      <c r="J330" s="266">
        <v>1</v>
      </c>
      <c r="K330" s="348"/>
      <c r="L330" s="37"/>
      <c r="M330" s="39"/>
      <c r="N330" s="37"/>
    </row>
    <row r="331" spans="1:14" ht="18" customHeight="1" x14ac:dyDescent="0.35">
      <c r="A331"/>
      <c r="B331" s="7"/>
      <c r="C331" s="48" t="s">
        <v>243</v>
      </c>
      <c r="D331" s="58"/>
      <c r="E331" s="276">
        <v>1</v>
      </c>
      <c r="F331" s="298"/>
      <c r="G331" s="298"/>
      <c r="H331" s="298"/>
      <c r="I331" s="269"/>
      <c r="J331" s="266">
        <v>1</v>
      </c>
      <c r="K331" s="348"/>
      <c r="L331" s="37"/>
      <c r="M331" s="39"/>
      <c r="N331" s="37"/>
    </row>
    <row r="332" spans="1:14" ht="18" customHeight="1" x14ac:dyDescent="0.35">
      <c r="A332"/>
      <c r="B332" s="7"/>
      <c r="C332" s="48" t="s">
        <v>244</v>
      </c>
      <c r="D332" s="58"/>
      <c r="E332" s="276">
        <v>1</v>
      </c>
      <c r="F332" s="298"/>
      <c r="G332" s="298"/>
      <c r="H332" s="298"/>
      <c r="I332" s="269"/>
      <c r="J332" s="266">
        <v>1</v>
      </c>
      <c r="K332" s="348"/>
      <c r="L332" s="37"/>
      <c r="M332" s="39"/>
      <c r="N332" s="37"/>
    </row>
    <row r="333" spans="1:14" ht="18" customHeight="1" x14ac:dyDescent="0.35">
      <c r="A333"/>
      <c r="B333" s="7"/>
      <c r="C333" s="48" t="s">
        <v>245</v>
      </c>
      <c r="D333" s="58"/>
      <c r="E333" s="276">
        <v>1</v>
      </c>
      <c r="F333" s="298"/>
      <c r="G333" s="298"/>
      <c r="H333" s="298"/>
      <c r="I333" s="269"/>
      <c r="J333" s="266">
        <v>1</v>
      </c>
      <c r="K333" s="348"/>
      <c r="L333" s="37"/>
      <c r="M333" s="39"/>
      <c r="N333" s="37"/>
    </row>
    <row r="334" spans="1:14" ht="15.5" x14ac:dyDescent="0.35">
      <c r="A334"/>
      <c r="B334" s="7"/>
      <c r="C334" s="156" t="s">
        <v>246</v>
      </c>
      <c r="D334" s="58"/>
      <c r="E334" s="276">
        <v>1</v>
      </c>
      <c r="F334" s="298"/>
      <c r="G334" s="298"/>
      <c r="H334" s="298"/>
      <c r="I334" s="269"/>
      <c r="J334" s="266">
        <v>1</v>
      </c>
      <c r="K334" s="348"/>
      <c r="L334" s="37"/>
      <c r="M334" s="39"/>
      <c r="N334" s="37"/>
    </row>
    <row r="335" spans="1:14" ht="18" customHeight="1" x14ac:dyDescent="0.35">
      <c r="A335"/>
      <c r="B335" s="7"/>
      <c r="C335" s="48" t="s">
        <v>247</v>
      </c>
      <c r="D335" s="58"/>
      <c r="E335" s="276">
        <v>1</v>
      </c>
      <c r="F335" s="298"/>
      <c r="G335" s="298"/>
      <c r="H335" s="298"/>
      <c r="I335" s="269"/>
      <c r="J335" s="266">
        <v>1</v>
      </c>
      <c r="K335" s="348"/>
      <c r="L335" s="37"/>
      <c r="M335" s="39"/>
      <c r="N335" s="37"/>
    </row>
    <row r="336" spans="1:14" ht="15.5" x14ac:dyDescent="0.35">
      <c r="A336"/>
      <c r="B336" s="7"/>
      <c r="C336" s="156" t="s">
        <v>248</v>
      </c>
      <c r="D336" s="58"/>
      <c r="E336" s="276">
        <v>1</v>
      </c>
      <c r="F336" s="298"/>
      <c r="G336" s="298"/>
      <c r="H336" s="298"/>
      <c r="I336" s="268"/>
      <c r="J336" s="266">
        <v>1</v>
      </c>
      <c r="K336" s="348"/>
      <c r="L336" s="37"/>
      <c r="M336" s="39"/>
      <c r="N336" s="37"/>
    </row>
    <row r="337" spans="1:14" ht="18" customHeight="1" thickBot="1" x14ac:dyDescent="0.4">
      <c r="A337"/>
      <c r="B337" s="17"/>
      <c r="C337" s="52"/>
      <c r="D337" s="58"/>
      <c r="E337" s="204"/>
      <c r="F337" s="205"/>
      <c r="G337" s="205"/>
      <c r="H337" s="205"/>
      <c r="I337" s="206"/>
      <c r="J337" s="206"/>
      <c r="K337" s="329"/>
      <c r="L337" s="37"/>
      <c r="M337" s="39"/>
      <c r="N337" s="37"/>
    </row>
    <row r="338" spans="1:14" ht="20.149999999999999" customHeight="1" x14ac:dyDescent="0.35">
      <c r="A338"/>
      <c r="B338" s="17"/>
      <c r="C338" s="61"/>
      <c r="D338" s="133"/>
      <c r="E338" s="195">
        <f t="shared" ref="E338:J338" si="4">SUM(E287:E337)</f>
        <v>48</v>
      </c>
      <c r="F338" s="195">
        <f t="shared" si="4"/>
        <v>1</v>
      </c>
      <c r="G338" s="195">
        <f t="shared" si="4"/>
        <v>0</v>
      </c>
      <c r="H338" s="195">
        <f t="shared" si="4"/>
        <v>0</v>
      </c>
      <c r="I338" s="195">
        <f t="shared" si="4"/>
        <v>1</v>
      </c>
      <c r="J338" s="195">
        <f t="shared" si="4"/>
        <v>49</v>
      </c>
      <c r="K338" s="335"/>
      <c r="L338" s="37"/>
      <c r="M338" s="39"/>
      <c r="N338" s="37"/>
    </row>
    <row r="339" spans="1:14" ht="20.149999999999999" customHeight="1" x14ac:dyDescent="0.35">
      <c r="A339"/>
      <c r="B339" s="41"/>
      <c r="C339" s="40"/>
      <c r="D339" s="1"/>
      <c r="E339" s="265"/>
      <c r="F339" s="265"/>
      <c r="G339" s="265"/>
      <c r="H339" s="265"/>
      <c r="I339" s="265"/>
      <c r="J339" s="265"/>
      <c r="K339" s="185"/>
      <c r="L339" s="37"/>
      <c r="M339" s="39"/>
      <c r="N339" s="37"/>
    </row>
    <row r="340" spans="1:14" ht="22" customHeight="1" x14ac:dyDescent="0.35">
      <c r="A340"/>
      <c r="B340" s="117">
        <v>1.6</v>
      </c>
      <c r="C340" s="100" t="s">
        <v>330</v>
      </c>
      <c r="D340" s="67"/>
      <c r="E340" s="208"/>
      <c r="F340" s="208"/>
      <c r="G340" s="208"/>
      <c r="H340" s="208"/>
      <c r="I340" s="208"/>
      <c r="J340" s="208"/>
      <c r="K340" s="336"/>
      <c r="L340" s="37"/>
      <c r="M340" s="39"/>
      <c r="N340" s="37"/>
    </row>
    <row r="341" spans="1:14" ht="22" customHeight="1" thickBot="1" x14ac:dyDescent="0.4">
      <c r="A341"/>
      <c r="B341" s="41"/>
      <c r="C341" s="40"/>
      <c r="D341" s="1"/>
      <c r="E341" s="265"/>
      <c r="F341" s="265"/>
      <c r="G341" s="265"/>
      <c r="H341" s="265"/>
      <c r="I341" s="265"/>
      <c r="J341" s="265"/>
      <c r="K341" s="185"/>
      <c r="L341" s="37"/>
      <c r="M341" s="39"/>
      <c r="N341" s="37"/>
    </row>
    <row r="342" spans="1:14" ht="22" customHeight="1" x14ac:dyDescent="0.35">
      <c r="A342"/>
      <c r="B342" s="62">
        <v>1.6</v>
      </c>
      <c r="C342" s="68" t="s">
        <v>38</v>
      </c>
      <c r="D342" s="78"/>
      <c r="E342" s="198" t="s">
        <v>20</v>
      </c>
      <c r="F342" s="198" t="s">
        <v>24</v>
      </c>
      <c r="G342" s="198" t="s">
        <v>27</v>
      </c>
      <c r="H342" s="198" t="s">
        <v>29</v>
      </c>
      <c r="I342" s="199" t="s">
        <v>32</v>
      </c>
      <c r="J342" s="200" t="s">
        <v>35</v>
      </c>
      <c r="K342" s="331" t="s">
        <v>39</v>
      </c>
      <c r="L342" s="37"/>
      <c r="M342" s="39"/>
      <c r="N342" s="37"/>
    </row>
    <row r="343" spans="1:14" ht="18" customHeight="1" x14ac:dyDescent="0.35">
      <c r="A343"/>
      <c r="C343" s="158" t="s">
        <v>59</v>
      </c>
      <c r="D343" s="77"/>
      <c r="E343" s="201"/>
      <c r="F343" s="202"/>
      <c r="G343" s="202"/>
      <c r="H343" s="202"/>
      <c r="I343" s="203"/>
      <c r="J343" s="203"/>
      <c r="K343" s="323"/>
      <c r="L343" s="37"/>
      <c r="M343" s="39"/>
      <c r="N343" s="37"/>
    </row>
    <row r="344" spans="1:14" ht="15.5" x14ac:dyDescent="0.35">
      <c r="A344"/>
      <c r="C344" s="105" t="s">
        <v>331</v>
      </c>
      <c r="D344" s="77"/>
      <c r="E344" s="201">
        <v>1</v>
      </c>
      <c r="F344" s="202"/>
      <c r="G344" s="202"/>
      <c r="H344" s="202"/>
      <c r="I344" s="239"/>
      <c r="J344" s="266">
        <v>1</v>
      </c>
      <c r="K344" s="323"/>
      <c r="L344" s="37"/>
      <c r="M344" s="39"/>
      <c r="N344" s="37"/>
    </row>
    <row r="345" spans="1:14" ht="15.5" x14ac:dyDescent="0.35">
      <c r="A345"/>
      <c r="C345" s="105" t="s">
        <v>62</v>
      </c>
      <c r="D345" s="77"/>
      <c r="E345" s="201">
        <v>1</v>
      </c>
      <c r="F345" s="202"/>
      <c r="G345" s="202"/>
      <c r="H345" s="202"/>
      <c r="I345" s="239"/>
      <c r="J345" s="266">
        <v>1</v>
      </c>
      <c r="K345" s="323"/>
      <c r="L345" s="37"/>
      <c r="M345" s="39"/>
      <c r="N345" s="37"/>
    </row>
    <row r="346" spans="1:14" ht="15.5" x14ac:dyDescent="0.35">
      <c r="A346"/>
      <c r="C346" s="108" t="s">
        <v>63</v>
      </c>
      <c r="D346" s="77"/>
      <c r="E346" s="201">
        <v>1</v>
      </c>
      <c r="F346" s="202"/>
      <c r="G346" s="202"/>
      <c r="H346" s="202"/>
      <c r="I346" s="239"/>
      <c r="J346" s="266">
        <v>1</v>
      </c>
      <c r="K346" s="323"/>
      <c r="L346" s="37"/>
      <c r="M346" s="39"/>
      <c r="N346" s="37"/>
    </row>
    <row r="347" spans="1:14" ht="15.5" x14ac:dyDescent="0.35">
      <c r="A347"/>
      <c r="C347" s="108" t="s">
        <v>64</v>
      </c>
      <c r="D347" s="77"/>
      <c r="E347" s="201">
        <v>1</v>
      </c>
      <c r="F347" s="202"/>
      <c r="G347" s="202"/>
      <c r="H347" s="202"/>
      <c r="I347" s="239"/>
      <c r="J347" s="266">
        <v>1</v>
      </c>
      <c r="K347" s="323"/>
      <c r="L347" s="37"/>
      <c r="M347" s="39"/>
      <c r="N347" s="37"/>
    </row>
    <row r="348" spans="1:14" ht="15.5" x14ac:dyDescent="0.35">
      <c r="A348"/>
      <c r="C348" s="108" t="s">
        <v>65</v>
      </c>
      <c r="D348" s="77"/>
      <c r="E348" s="201">
        <v>1</v>
      </c>
      <c r="F348" s="202"/>
      <c r="G348" s="202"/>
      <c r="H348" s="202"/>
      <c r="I348" s="239"/>
      <c r="J348" s="266">
        <v>1</v>
      </c>
      <c r="K348" s="323"/>
      <c r="L348" s="37"/>
      <c r="M348" s="39"/>
      <c r="N348" s="37"/>
    </row>
    <row r="349" spans="1:14" ht="15.5" x14ac:dyDescent="0.35">
      <c r="A349"/>
      <c r="C349" s="108" t="s">
        <v>66</v>
      </c>
      <c r="D349" s="77"/>
      <c r="E349" s="201">
        <v>1</v>
      </c>
      <c r="F349" s="202"/>
      <c r="G349" s="202"/>
      <c r="H349" s="202"/>
      <c r="I349" s="239"/>
      <c r="J349" s="266">
        <v>1</v>
      </c>
      <c r="K349" s="323"/>
      <c r="L349" s="37"/>
      <c r="M349" s="39"/>
      <c r="N349" s="37"/>
    </row>
    <row r="350" spans="1:14" ht="15.5" x14ac:dyDescent="0.35">
      <c r="A350"/>
      <c r="C350" s="108" t="s">
        <v>67</v>
      </c>
      <c r="D350" s="77"/>
      <c r="E350" s="201"/>
      <c r="F350" s="202">
        <v>1</v>
      </c>
      <c r="G350" s="202"/>
      <c r="H350" s="202"/>
      <c r="I350" s="239"/>
      <c r="J350" s="266">
        <v>1</v>
      </c>
      <c r="K350" s="326" t="s">
        <v>140</v>
      </c>
      <c r="L350" s="37"/>
      <c r="M350" s="39"/>
      <c r="N350" s="37"/>
    </row>
    <row r="351" spans="1:14" ht="15.5" x14ac:dyDescent="0.35">
      <c r="A351"/>
      <c r="C351" s="105" t="s">
        <v>71</v>
      </c>
      <c r="D351" s="77"/>
      <c r="E351" s="201"/>
      <c r="F351" s="202"/>
      <c r="G351" s="202"/>
      <c r="H351" s="202"/>
      <c r="I351" s="239">
        <v>1</v>
      </c>
      <c r="J351" s="266"/>
      <c r="K351" s="326" t="s">
        <v>142</v>
      </c>
      <c r="L351" s="37"/>
      <c r="M351" s="39"/>
      <c r="N351" s="37"/>
    </row>
    <row r="352" spans="1:14" ht="15.5" x14ac:dyDescent="0.35">
      <c r="A352"/>
      <c r="C352" s="105" t="s">
        <v>143</v>
      </c>
      <c r="D352" s="77"/>
      <c r="E352" s="201">
        <v>1</v>
      </c>
      <c r="F352" s="202"/>
      <c r="G352" s="202"/>
      <c r="H352" s="202"/>
      <c r="I352" s="239"/>
      <c r="J352" s="266">
        <v>1</v>
      </c>
      <c r="K352" s="326"/>
      <c r="L352" s="37"/>
      <c r="M352" s="39"/>
      <c r="N352" s="37"/>
    </row>
    <row r="353" spans="1:14" ht="15.5" x14ac:dyDescent="0.35">
      <c r="A353"/>
      <c r="C353" s="105" t="s">
        <v>144</v>
      </c>
      <c r="D353" s="77"/>
      <c r="E353" s="201"/>
      <c r="F353" s="202">
        <v>1</v>
      </c>
      <c r="G353" s="202"/>
      <c r="H353" s="202"/>
      <c r="I353" s="239"/>
      <c r="J353" s="266">
        <v>1</v>
      </c>
      <c r="K353" s="323"/>
      <c r="L353" s="37"/>
      <c r="M353" s="39"/>
      <c r="N353" s="37"/>
    </row>
    <row r="354" spans="1:14" ht="15.5" x14ac:dyDescent="0.35">
      <c r="A354"/>
      <c r="C354" s="105" t="s">
        <v>332</v>
      </c>
      <c r="D354" s="77"/>
      <c r="E354" s="201">
        <v>1</v>
      </c>
      <c r="F354" s="202"/>
      <c r="G354" s="202"/>
      <c r="H354" s="202"/>
      <c r="I354" s="239"/>
      <c r="J354" s="266">
        <v>1</v>
      </c>
      <c r="K354" s="323"/>
      <c r="L354" s="37"/>
      <c r="M354" s="39"/>
      <c r="N354" s="37"/>
    </row>
    <row r="355" spans="1:14" ht="15.5" x14ac:dyDescent="0.35">
      <c r="A355"/>
      <c r="C355" s="105" t="s">
        <v>146</v>
      </c>
      <c r="D355" s="77"/>
      <c r="E355" s="201"/>
      <c r="F355" s="202"/>
      <c r="G355" s="202"/>
      <c r="H355" s="202"/>
      <c r="I355" s="239">
        <v>1</v>
      </c>
      <c r="J355" s="266"/>
      <c r="K355" s="326" t="s">
        <v>333</v>
      </c>
      <c r="L355" s="37"/>
      <c r="M355" s="39"/>
      <c r="N355" s="37"/>
    </row>
    <row r="356" spans="1:14" ht="15.5" x14ac:dyDescent="0.35">
      <c r="A356"/>
      <c r="C356" s="105" t="s">
        <v>148</v>
      </c>
      <c r="D356" s="77"/>
      <c r="E356" s="201">
        <v>1</v>
      </c>
      <c r="F356" s="202"/>
      <c r="G356" s="202"/>
      <c r="H356" s="202"/>
      <c r="I356" s="239"/>
      <c r="J356" s="266">
        <v>1</v>
      </c>
      <c r="K356" s="326" t="s">
        <v>334</v>
      </c>
      <c r="L356" s="37"/>
      <c r="M356" s="39"/>
      <c r="N356" s="37"/>
    </row>
    <row r="357" spans="1:14" ht="15.5" x14ac:dyDescent="0.35">
      <c r="A357"/>
      <c r="C357" s="105" t="s">
        <v>335</v>
      </c>
      <c r="D357" s="77"/>
      <c r="E357" s="201">
        <v>1</v>
      </c>
      <c r="F357" s="202"/>
      <c r="G357" s="202"/>
      <c r="H357" s="202"/>
      <c r="I357" s="239"/>
      <c r="J357" s="266">
        <v>1</v>
      </c>
      <c r="K357" s="323"/>
      <c r="L357" s="37"/>
      <c r="M357" s="39"/>
      <c r="N357" s="37"/>
    </row>
    <row r="358" spans="1:14" ht="31" x14ac:dyDescent="0.35">
      <c r="A358"/>
      <c r="C358" s="106" t="s">
        <v>86</v>
      </c>
      <c r="D358" s="77"/>
      <c r="E358" s="201"/>
      <c r="F358" s="202">
        <v>1</v>
      </c>
      <c r="G358" s="202"/>
      <c r="H358" s="202"/>
      <c r="I358" s="239"/>
      <c r="J358" s="266">
        <v>1</v>
      </c>
      <c r="K358" s="323"/>
      <c r="L358" s="37"/>
      <c r="M358" s="39"/>
      <c r="N358" s="37"/>
    </row>
    <row r="359" spans="1:14" ht="15.5" x14ac:dyDescent="0.35">
      <c r="A359"/>
      <c r="C359" s="105" t="s">
        <v>150</v>
      </c>
      <c r="D359" s="77"/>
      <c r="E359" s="201">
        <v>1</v>
      </c>
      <c r="F359" s="202"/>
      <c r="G359" s="202"/>
      <c r="H359" s="202"/>
      <c r="I359" s="239"/>
      <c r="J359" s="266">
        <v>1</v>
      </c>
      <c r="K359" s="323"/>
      <c r="L359" s="37"/>
      <c r="M359" s="39"/>
      <c r="N359" s="37"/>
    </row>
    <row r="360" spans="1:14" ht="15.5" x14ac:dyDescent="0.35">
      <c r="A360"/>
      <c r="C360" s="105" t="s">
        <v>336</v>
      </c>
      <c r="D360" s="77"/>
      <c r="E360" s="201">
        <v>1</v>
      </c>
      <c r="F360" s="202"/>
      <c r="G360" s="202"/>
      <c r="H360" s="202"/>
      <c r="I360" s="239"/>
      <c r="J360" s="266">
        <v>1</v>
      </c>
      <c r="K360" s="323"/>
      <c r="L360" s="37"/>
      <c r="M360" s="39"/>
      <c r="N360" s="37"/>
    </row>
    <row r="361" spans="1:14" ht="15.5" x14ac:dyDescent="0.35">
      <c r="A361"/>
      <c r="C361" s="105" t="s">
        <v>152</v>
      </c>
      <c r="D361" s="77"/>
      <c r="E361" s="201">
        <v>1</v>
      </c>
      <c r="F361" s="202"/>
      <c r="G361" s="202"/>
      <c r="H361" s="202"/>
      <c r="I361" s="239"/>
      <c r="J361" s="276">
        <v>1</v>
      </c>
      <c r="K361" s="323"/>
      <c r="L361" s="37"/>
      <c r="M361" s="39"/>
      <c r="N361" s="37"/>
    </row>
    <row r="362" spans="1:14" ht="15.5" x14ac:dyDescent="0.35">
      <c r="A362"/>
      <c r="C362" s="105" t="s">
        <v>153</v>
      </c>
      <c r="D362" s="77"/>
      <c r="E362" s="201">
        <v>1</v>
      </c>
      <c r="F362" s="202"/>
      <c r="G362" s="202"/>
      <c r="H362" s="202"/>
      <c r="I362" s="203"/>
      <c r="J362" s="271">
        <v>1</v>
      </c>
      <c r="K362" s="327"/>
      <c r="L362" s="37"/>
      <c r="M362" s="39"/>
      <c r="N362" s="37"/>
    </row>
    <row r="363" spans="1:14" ht="15.5" x14ac:dyDescent="0.35">
      <c r="A363"/>
      <c r="C363" s="105" t="s">
        <v>337</v>
      </c>
      <c r="D363" s="77"/>
      <c r="E363" s="201">
        <v>1</v>
      </c>
      <c r="F363" s="202"/>
      <c r="G363" s="202"/>
      <c r="H363" s="202"/>
      <c r="I363" s="203"/>
      <c r="J363" s="272">
        <v>1</v>
      </c>
      <c r="K363" s="327"/>
      <c r="L363" s="37"/>
      <c r="M363" s="39"/>
      <c r="N363" s="37"/>
    </row>
    <row r="364" spans="1:14" ht="15.5" x14ac:dyDescent="0.35">
      <c r="A364"/>
      <c r="C364" s="105" t="s">
        <v>155</v>
      </c>
      <c r="D364" s="77"/>
      <c r="E364" s="201">
        <v>1</v>
      </c>
      <c r="F364" s="202"/>
      <c r="G364" s="202"/>
      <c r="H364" s="202"/>
      <c r="I364" s="203"/>
      <c r="J364" s="272">
        <v>1</v>
      </c>
      <c r="K364" s="327"/>
      <c r="L364" s="37"/>
      <c r="M364" s="39"/>
      <c r="N364" s="37"/>
    </row>
    <row r="365" spans="1:14" ht="15.5" x14ac:dyDescent="0.35">
      <c r="A365"/>
      <c r="C365" s="105" t="s">
        <v>156</v>
      </c>
      <c r="D365" s="77"/>
      <c r="E365" s="201">
        <v>1</v>
      </c>
      <c r="F365" s="202"/>
      <c r="G365" s="202"/>
      <c r="H365" s="202"/>
      <c r="I365" s="203"/>
      <c r="J365" s="272">
        <v>1</v>
      </c>
      <c r="K365" s="327"/>
      <c r="L365" s="37"/>
      <c r="M365" s="39"/>
      <c r="N365" s="37"/>
    </row>
    <row r="366" spans="1:14" ht="15.5" x14ac:dyDescent="0.35">
      <c r="A366"/>
      <c r="C366" s="105" t="s">
        <v>157</v>
      </c>
      <c r="D366" s="77"/>
      <c r="E366" s="201">
        <v>1</v>
      </c>
      <c r="F366" s="202"/>
      <c r="G366" s="202"/>
      <c r="H366" s="202"/>
      <c r="I366" s="203"/>
      <c r="J366" s="272">
        <v>1</v>
      </c>
      <c r="K366" s="327"/>
      <c r="L366" s="37"/>
      <c r="M366" s="39"/>
      <c r="N366" s="37"/>
    </row>
    <row r="367" spans="1:14" ht="15.5" x14ac:dyDescent="0.35">
      <c r="A367"/>
      <c r="C367" s="105" t="s">
        <v>158</v>
      </c>
      <c r="D367" s="77"/>
      <c r="E367" s="201">
        <v>1</v>
      </c>
      <c r="F367" s="202"/>
      <c r="G367" s="202"/>
      <c r="H367" s="202"/>
      <c r="I367" s="203"/>
      <c r="J367" s="272">
        <v>1</v>
      </c>
      <c r="K367" s="327"/>
      <c r="L367" s="37"/>
      <c r="M367" s="39"/>
      <c r="N367" s="37"/>
    </row>
    <row r="368" spans="1:14" ht="15.5" x14ac:dyDescent="0.35">
      <c r="A368"/>
      <c r="C368" s="105" t="s">
        <v>159</v>
      </c>
      <c r="D368" s="77"/>
      <c r="E368" s="201">
        <v>1</v>
      </c>
      <c r="F368" s="202"/>
      <c r="G368" s="202"/>
      <c r="H368" s="202"/>
      <c r="I368" s="203"/>
      <c r="J368" s="272">
        <v>1</v>
      </c>
      <c r="K368" s="327"/>
      <c r="L368" s="37"/>
      <c r="M368" s="39"/>
      <c r="N368" s="37"/>
    </row>
    <row r="369" spans="1:14" ht="15.5" x14ac:dyDescent="0.35">
      <c r="A369"/>
      <c r="C369" s="105" t="s">
        <v>160</v>
      </c>
      <c r="D369" s="77"/>
      <c r="E369" s="201">
        <v>1</v>
      </c>
      <c r="F369" s="202"/>
      <c r="G369" s="202"/>
      <c r="H369" s="202"/>
      <c r="I369" s="203"/>
      <c r="J369" s="272">
        <v>1</v>
      </c>
      <c r="K369" s="327"/>
      <c r="L369" s="37"/>
      <c r="M369" s="39"/>
      <c r="N369" s="37"/>
    </row>
    <row r="370" spans="1:14" ht="15.5" x14ac:dyDescent="0.35">
      <c r="A370"/>
      <c r="C370" s="105" t="s">
        <v>161</v>
      </c>
      <c r="D370" s="77"/>
      <c r="E370" s="201">
        <v>1</v>
      </c>
      <c r="F370" s="202"/>
      <c r="G370" s="202"/>
      <c r="H370" s="202"/>
      <c r="I370" s="203"/>
      <c r="J370" s="272">
        <v>1</v>
      </c>
      <c r="K370" s="327"/>
      <c r="L370" s="37"/>
      <c r="M370" s="39"/>
      <c r="N370" s="37"/>
    </row>
    <row r="371" spans="1:14" ht="15.5" x14ac:dyDescent="0.35">
      <c r="A371"/>
      <c r="C371" s="108" t="s">
        <v>162</v>
      </c>
      <c r="D371" s="77"/>
      <c r="E371" s="201">
        <v>1</v>
      </c>
      <c r="F371" s="202"/>
      <c r="G371" s="202"/>
      <c r="H371" s="202"/>
      <c r="I371" s="203"/>
      <c r="J371" s="272">
        <v>1</v>
      </c>
      <c r="K371" s="327"/>
      <c r="L371" s="37"/>
      <c r="M371" s="39"/>
      <c r="N371" s="37"/>
    </row>
    <row r="372" spans="1:14" ht="15.5" x14ac:dyDescent="0.35">
      <c r="A372"/>
      <c r="C372" s="108" t="s">
        <v>163</v>
      </c>
      <c r="D372" s="77"/>
      <c r="E372" s="201">
        <v>1</v>
      </c>
      <c r="F372" s="202"/>
      <c r="G372" s="202"/>
      <c r="H372" s="202"/>
      <c r="I372" s="203"/>
      <c r="J372" s="272">
        <v>1</v>
      </c>
      <c r="K372" s="327"/>
      <c r="L372" s="37"/>
      <c r="M372" s="39"/>
      <c r="N372" s="37"/>
    </row>
    <row r="373" spans="1:14" ht="15.5" x14ac:dyDescent="0.35">
      <c r="A373"/>
      <c r="C373" s="108" t="s">
        <v>164</v>
      </c>
      <c r="D373" s="77"/>
      <c r="E373" s="201">
        <v>1</v>
      </c>
      <c r="F373" s="202"/>
      <c r="G373" s="202"/>
      <c r="H373" s="202"/>
      <c r="I373" s="203"/>
      <c r="J373" s="272">
        <v>1</v>
      </c>
      <c r="K373" s="327"/>
      <c r="L373" s="37"/>
      <c r="M373" s="39"/>
      <c r="N373" s="37"/>
    </row>
    <row r="374" spans="1:14" ht="15.5" x14ac:dyDescent="0.35">
      <c r="A374"/>
      <c r="C374" s="108" t="s">
        <v>165</v>
      </c>
      <c r="D374" s="77"/>
      <c r="E374" s="201"/>
      <c r="F374" s="202">
        <v>1</v>
      </c>
      <c r="G374" s="202"/>
      <c r="H374" s="202"/>
      <c r="I374" s="203"/>
      <c r="J374" s="272">
        <v>1</v>
      </c>
      <c r="K374" s="328" t="s">
        <v>140</v>
      </c>
      <c r="L374" s="37"/>
      <c r="M374" s="39"/>
      <c r="N374" s="37"/>
    </row>
    <row r="375" spans="1:14" ht="15.5" x14ac:dyDescent="0.35">
      <c r="A375"/>
      <c r="C375" s="108"/>
      <c r="D375" s="77"/>
      <c r="E375" s="201"/>
      <c r="F375" s="202"/>
      <c r="G375" s="202"/>
      <c r="H375" s="202"/>
      <c r="I375" s="203"/>
      <c r="J375" s="272" t="s">
        <v>2</v>
      </c>
      <c r="K375" s="327"/>
      <c r="L375" s="37"/>
      <c r="M375" s="39"/>
      <c r="N375" s="37"/>
    </row>
    <row r="376" spans="1:14" ht="15.5" x14ac:dyDescent="0.35">
      <c r="A376"/>
      <c r="C376" s="158" t="s">
        <v>166</v>
      </c>
      <c r="D376" s="77"/>
      <c r="E376" s="201"/>
      <c r="F376" s="202"/>
      <c r="G376" s="202"/>
      <c r="H376" s="202"/>
      <c r="I376" s="203"/>
      <c r="J376" s="272" t="s">
        <v>2</v>
      </c>
      <c r="K376" s="327"/>
      <c r="L376" s="37"/>
      <c r="M376" s="39"/>
      <c r="N376" s="37"/>
    </row>
    <row r="377" spans="1:14" ht="15.5" x14ac:dyDescent="0.35">
      <c r="A377"/>
      <c r="C377" s="105" t="s">
        <v>60</v>
      </c>
      <c r="D377" s="77"/>
      <c r="E377" s="201">
        <v>1</v>
      </c>
      <c r="F377" s="202"/>
      <c r="G377" s="202"/>
      <c r="H377" s="202"/>
      <c r="I377" s="203"/>
      <c r="J377" s="272">
        <v>1</v>
      </c>
      <c r="K377" s="327"/>
      <c r="L377" s="37"/>
      <c r="M377" s="39"/>
      <c r="N377" s="37"/>
    </row>
    <row r="378" spans="1:14" ht="15.5" x14ac:dyDescent="0.35">
      <c r="A378"/>
      <c r="C378" s="105" t="s">
        <v>338</v>
      </c>
      <c r="D378" s="77"/>
      <c r="E378" s="201"/>
      <c r="F378" s="202">
        <v>1</v>
      </c>
      <c r="G378" s="202"/>
      <c r="H378" s="202"/>
      <c r="I378" s="203"/>
      <c r="J378" s="272">
        <v>1</v>
      </c>
      <c r="K378" s="328"/>
      <c r="L378" s="37"/>
      <c r="M378" s="39"/>
      <c r="N378" s="37"/>
    </row>
    <row r="379" spans="1:14" ht="15.5" x14ac:dyDescent="0.35">
      <c r="A379"/>
      <c r="C379" s="105" t="s">
        <v>339</v>
      </c>
      <c r="D379" s="77"/>
      <c r="E379" s="201">
        <v>1</v>
      </c>
      <c r="F379" s="202"/>
      <c r="G379" s="202"/>
      <c r="H379" s="202"/>
      <c r="I379" s="239"/>
      <c r="J379" s="304">
        <v>1</v>
      </c>
      <c r="K379" s="327"/>
      <c r="L379" s="37"/>
      <c r="M379" s="39"/>
      <c r="N379" s="37"/>
    </row>
    <row r="380" spans="1:14" ht="31" x14ac:dyDescent="0.35">
      <c r="A380"/>
      <c r="C380" s="106" t="s">
        <v>340</v>
      </c>
      <c r="D380" s="77"/>
      <c r="E380" s="201">
        <v>1</v>
      </c>
      <c r="F380" s="202"/>
      <c r="G380" s="202"/>
      <c r="H380" s="202"/>
      <c r="I380" s="239"/>
      <c r="J380" s="305">
        <v>1</v>
      </c>
      <c r="K380" s="323"/>
      <c r="L380" s="37"/>
      <c r="M380" s="39"/>
      <c r="N380" s="37"/>
    </row>
    <row r="381" spans="1:14" ht="15.5" x14ac:dyDescent="0.35">
      <c r="A381"/>
      <c r="C381" s="105" t="s">
        <v>170</v>
      </c>
      <c r="D381" s="77"/>
      <c r="E381" s="201">
        <v>1</v>
      </c>
      <c r="F381" s="202"/>
      <c r="G381" s="202"/>
      <c r="H381" s="202"/>
      <c r="I381" s="239"/>
      <c r="J381" s="266">
        <v>1</v>
      </c>
      <c r="K381" s="323"/>
      <c r="L381" s="37"/>
      <c r="M381" s="39"/>
      <c r="N381" s="37"/>
    </row>
    <row r="382" spans="1:14" ht="15.5" x14ac:dyDescent="0.35">
      <c r="A382"/>
      <c r="C382" s="105" t="s">
        <v>78</v>
      </c>
      <c r="D382" s="77"/>
      <c r="E382" s="201"/>
      <c r="F382" s="202">
        <v>1</v>
      </c>
      <c r="G382" s="202"/>
      <c r="H382" s="202"/>
      <c r="I382" s="239"/>
      <c r="J382" s="266">
        <v>1</v>
      </c>
      <c r="K382" s="326"/>
      <c r="L382" s="37"/>
      <c r="M382" s="39"/>
      <c r="N382" s="37"/>
    </row>
    <row r="383" spans="1:14" ht="15.5" x14ac:dyDescent="0.35">
      <c r="A383"/>
      <c r="C383" s="105" t="s">
        <v>341</v>
      </c>
      <c r="D383" s="77"/>
      <c r="E383" s="201">
        <v>1</v>
      </c>
      <c r="F383" s="202"/>
      <c r="G383" s="202"/>
      <c r="H383" s="202"/>
      <c r="I383" s="239"/>
      <c r="J383" s="266">
        <v>1</v>
      </c>
      <c r="K383" s="323"/>
      <c r="L383" s="37"/>
      <c r="M383" s="39"/>
      <c r="N383" s="37"/>
    </row>
    <row r="384" spans="1:14" ht="15.5" x14ac:dyDescent="0.35">
      <c r="A384"/>
      <c r="C384" s="105" t="s">
        <v>342</v>
      </c>
      <c r="D384" s="77"/>
      <c r="E384" s="201">
        <v>1</v>
      </c>
      <c r="F384" s="202"/>
      <c r="G384" s="202"/>
      <c r="H384" s="202"/>
      <c r="I384" s="239"/>
      <c r="J384" s="266">
        <v>1</v>
      </c>
      <c r="K384" s="323"/>
      <c r="L384" s="37"/>
      <c r="M384" s="39"/>
      <c r="N384" s="37"/>
    </row>
    <row r="385" spans="1:14" ht="15.5" x14ac:dyDescent="0.35">
      <c r="A385"/>
      <c r="C385" s="105" t="s">
        <v>343</v>
      </c>
      <c r="D385" s="77"/>
      <c r="E385" s="201"/>
      <c r="F385" s="202">
        <v>1</v>
      </c>
      <c r="G385" s="202"/>
      <c r="H385" s="202"/>
      <c r="I385" s="239"/>
      <c r="J385" s="266">
        <v>1</v>
      </c>
      <c r="K385" s="323"/>
      <c r="L385" s="37"/>
      <c r="M385" s="39"/>
      <c r="N385" s="37"/>
    </row>
    <row r="386" spans="1:14" ht="15.5" x14ac:dyDescent="0.35">
      <c r="A386"/>
      <c r="C386" s="105" t="s">
        <v>344</v>
      </c>
      <c r="D386" s="77"/>
      <c r="E386" s="201">
        <v>1</v>
      </c>
      <c r="F386" s="202"/>
      <c r="G386" s="202"/>
      <c r="H386" s="202"/>
      <c r="I386" s="239"/>
      <c r="J386" s="266">
        <v>1</v>
      </c>
      <c r="K386" s="323"/>
      <c r="L386" s="37"/>
      <c r="M386" s="39"/>
      <c r="N386" s="37"/>
    </row>
    <row r="387" spans="1:14" ht="15.5" x14ac:dyDescent="0.35">
      <c r="A387"/>
      <c r="C387" s="105" t="s">
        <v>87</v>
      </c>
      <c r="D387" s="77"/>
      <c r="E387" s="201">
        <v>1</v>
      </c>
      <c r="F387" s="202"/>
      <c r="G387" s="202"/>
      <c r="H387" s="202"/>
      <c r="I387" s="239"/>
      <c r="J387" s="266">
        <v>1</v>
      </c>
      <c r="K387" s="323"/>
      <c r="L387" s="37"/>
      <c r="M387" s="39"/>
      <c r="N387" s="37"/>
    </row>
    <row r="388" spans="1:14" ht="15.5" x14ac:dyDescent="0.35">
      <c r="A388"/>
      <c r="C388" s="105" t="s">
        <v>176</v>
      </c>
      <c r="D388" s="77"/>
      <c r="E388" s="201">
        <v>1</v>
      </c>
      <c r="F388" s="202"/>
      <c r="G388" s="202"/>
      <c r="H388" s="202"/>
      <c r="I388" s="239"/>
      <c r="J388" s="266">
        <v>1</v>
      </c>
      <c r="K388" s="323"/>
      <c r="L388" s="37"/>
      <c r="M388" s="39"/>
      <c r="N388" s="37"/>
    </row>
    <row r="389" spans="1:14" ht="15.5" x14ac:dyDescent="0.35">
      <c r="A389"/>
      <c r="C389" s="105" t="s">
        <v>177</v>
      </c>
      <c r="D389" s="77"/>
      <c r="E389" s="201">
        <v>1</v>
      </c>
      <c r="F389" s="202"/>
      <c r="G389" s="202"/>
      <c r="H389" s="202"/>
      <c r="I389" s="239"/>
      <c r="J389" s="266">
        <v>1</v>
      </c>
      <c r="K389" s="323"/>
      <c r="L389" s="37"/>
      <c r="M389" s="39"/>
      <c r="N389" s="37"/>
    </row>
    <row r="390" spans="1:14" ht="15.5" x14ac:dyDescent="0.35">
      <c r="A390"/>
      <c r="C390" s="105" t="s">
        <v>178</v>
      </c>
      <c r="D390" s="77"/>
      <c r="E390" s="201">
        <v>1</v>
      </c>
      <c r="F390" s="202"/>
      <c r="G390" s="202"/>
      <c r="H390" s="202"/>
      <c r="I390" s="239"/>
      <c r="J390" s="266">
        <v>1</v>
      </c>
      <c r="K390" s="323"/>
      <c r="L390" s="37"/>
      <c r="M390" s="39"/>
      <c r="N390" s="37"/>
    </row>
    <row r="391" spans="1:14" ht="18" customHeight="1" thickBot="1" x14ac:dyDescent="0.4">
      <c r="A391"/>
      <c r="C391" s="107"/>
      <c r="D391" s="77"/>
      <c r="E391" s="204"/>
      <c r="F391" s="205"/>
      <c r="G391" s="205"/>
      <c r="H391" s="205"/>
      <c r="I391" s="253"/>
      <c r="J391" s="252"/>
      <c r="K391" s="329"/>
      <c r="L391" s="37"/>
      <c r="M391" s="39"/>
      <c r="N391" s="37"/>
    </row>
    <row r="392" spans="1:14" ht="20.149999999999999" customHeight="1" x14ac:dyDescent="0.35">
      <c r="A392"/>
      <c r="D392" s="39"/>
      <c r="E392" s="210">
        <f t="shared" ref="E392:J392" si="5">SUM(E343:E391)</f>
        <v>36</v>
      </c>
      <c r="F392" s="210">
        <f t="shared" si="5"/>
        <v>7</v>
      </c>
      <c r="G392" s="210">
        <f t="shared" si="5"/>
        <v>0</v>
      </c>
      <c r="H392" s="210">
        <f t="shared" si="5"/>
        <v>0</v>
      </c>
      <c r="I392" s="210">
        <f t="shared" si="5"/>
        <v>2</v>
      </c>
      <c r="J392" s="210">
        <f t="shared" si="5"/>
        <v>43</v>
      </c>
      <c r="K392" s="349"/>
      <c r="L392" s="37"/>
      <c r="M392" s="39"/>
      <c r="N392" s="37"/>
    </row>
    <row r="393" spans="1:14" ht="20.149999999999999" customHeight="1" x14ac:dyDescent="0.35">
      <c r="A393"/>
      <c r="D393" s="24"/>
      <c r="E393" s="211"/>
      <c r="F393" s="211"/>
      <c r="G393" s="211"/>
      <c r="H393" s="211"/>
      <c r="I393" s="211"/>
      <c r="J393" s="211"/>
      <c r="K393" s="330"/>
      <c r="L393" s="37"/>
      <c r="M393" s="39"/>
      <c r="N393" s="37"/>
    </row>
    <row r="394" spans="1:14" ht="22" customHeight="1" x14ac:dyDescent="0.35">
      <c r="A394"/>
      <c r="B394" s="117">
        <v>1.7</v>
      </c>
      <c r="C394" s="100" t="s">
        <v>345</v>
      </c>
      <c r="D394" s="21"/>
      <c r="E394" s="196"/>
      <c r="F394" s="196"/>
      <c r="G394" s="196"/>
      <c r="H394" s="196"/>
      <c r="I394" s="196"/>
      <c r="J394" s="196"/>
      <c r="K394" s="320"/>
      <c r="L394" s="37"/>
      <c r="M394" s="39"/>
      <c r="N394" s="37"/>
    </row>
    <row r="395" spans="1:14" ht="22" customHeight="1" thickBot="1" x14ac:dyDescent="0.4">
      <c r="A395"/>
      <c r="B395" s="17"/>
      <c r="C395" s="28"/>
      <c r="D395" s="24"/>
      <c r="E395" s="211"/>
      <c r="F395" s="211"/>
      <c r="G395" s="211"/>
      <c r="H395" s="211"/>
      <c r="I395" s="211"/>
      <c r="J395" s="211"/>
      <c r="K395" s="330"/>
      <c r="L395" s="37"/>
      <c r="M395" s="39"/>
      <c r="N395" s="37"/>
    </row>
    <row r="396" spans="1:14" ht="22" customHeight="1" x14ac:dyDescent="0.35">
      <c r="A396"/>
      <c r="B396" s="17"/>
      <c r="C396" s="50" t="s">
        <v>38</v>
      </c>
      <c r="D396" s="57"/>
      <c r="E396" s="198" t="s">
        <v>20</v>
      </c>
      <c r="F396" s="198" t="s">
        <v>24</v>
      </c>
      <c r="G396" s="198" t="s">
        <v>27</v>
      </c>
      <c r="H396" s="198" t="s">
        <v>29</v>
      </c>
      <c r="I396" s="199" t="s">
        <v>32</v>
      </c>
      <c r="J396" s="200" t="s">
        <v>35</v>
      </c>
      <c r="K396" s="322" t="s">
        <v>39</v>
      </c>
      <c r="L396" s="37"/>
      <c r="M396" s="39"/>
      <c r="N396" s="37"/>
    </row>
    <row r="397" spans="1:14" ht="22" customHeight="1" x14ac:dyDescent="0.35">
      <c r="A397"/>
      <c r="B397" s="17"/>
      <c r="C397" s="181" t="s">
        <v>346</v>
      </c>
      <c r="D397" s="180"/>
      <c r="E397" s="201">
        <v>1</v>
      </c>
      <c r="F397" s="202"/>
      <c r="G397" s="202"/>
      <c r="H397" s="203"/>
      <c r="I397" s="247"/>
      <c r="J397" s="266">
        <v>1</v>
      </c>
      <c r="K397" s="323"/>
      <c r="L397" s="37"/>
      <c r="M397" s="39"/>
      <c r="N397" s="37"/>
    </row>
    <row r="398" spans="1:14" ht="18" customHeight="1" x14ac:dyDescent="0.35">
      <c r="A398"/>
      <c r="B398" s="17"/>
      <c r="C398" s="53" t="s">
        <v>347</v>
      </c>
      <c r="D398" s="58"/>
      <c r="E398" s="201">
        <v>1</v>
      </c>
      <c r="F398" s="202"/>
      <c r="G398" s="202"/>
      <c r="H398" s="203"/>
      <c r="I398" s="248"/>
      <c r="J398" s="266">
        <v>1</v>
      </c>
      <c r="K398" s="323"/>
      <c r="L398" s="37"/>
      <c r="M398" s="39"/>
      <c r="N398" s="37"/>
    </row>
    <row r="399" spans="1:14" ht="18" customHeight="1" x14ac:dyDescent="0.35">
      <c r="A399"/>
      <c r="B399" s="17"/>
      <c r="C399" s="53" t="s">
        <v>348</v>
      </c>
      <c r="D399" s="58"/>
      <c r="E399" s="201">
        <v>1</v>
      </c>
      <c r="F399" s="202"/>
      <c r="G399" s="202"/>
      <c r="H399" s="203"/>
      <c r="I399" s="248"/>
      <c r="J399" s="266">
        <v>1</v>
      </c>
      <c r="K399" s="323"/>
      <c r="L399" s="37"/>
      <c r="M399" s="39"/>
      <c r="N399" s="37"/>
    </row>
    <row r="400" spans="1:14" ht="18" customHeight="1" x14ac:dyDescent="0.35">
      <c r="A400"/>
      <c r="B400" s="17"/>
      <c r="C400" s="53" t="s">
        <v>349</v>
      </c>
      <c r="D400" s="58"/>
      <c r="E400" s="201">
        <v>1</v>
      </c>
      <c r="F400" s="202"/>
      <c r="G400" s="202"/>
      <c r="H400" s="203"/>
      <c r="I400" s="248"/>
      <c r="J400" s="266">
        <v>1</v>
      </c>
      <c r="K400" s="323"/>
      <c r="L400" s="37"/>
      <c r="M400" s="39"/>
      <c r="N400" s="37"/>
    </row>
    <row r="401" spans="1:14" ht="18" customHeight="1" x14ac:dyDescent="0.35">
      <c r="A401"/>
      <c r="B401" s="17"/>
      <c r="C401" s="51" t="s">
        <v>350</v>
      </c>
      <c r="D401" s="58"/>
      <c r="E401" s="201">
        <v>1</v>
      </c>
      <c r="F401" s="202"/>
      <c r="G401" s="202"/>
      <c r="H401" s="203"/>
      <c r="I401" s="248"/>
      <c r="J401" s="266">
        <v>1</v>
      </c>
      <c r="K401" s="323"/>
      <c r="L401" s="37"/>
      <c r="M401" s="39"/>
      <c r="N401" s="37"/>
    </row>
    <row r="402" spans="1:14" ht="18" customHeight="1" x14ac:dyDescent="0.35">
      <c r="A402"/>
      <c r="B402" s="17"/>
      <c r="C402" s="51" t="s">
        <v>351</v>
      </c>
      <c r="D402" s="58"/>
      <c r="E402" s="201">
        <v>1</v>
      </c>
      <c r="F402" s="202"/>
      <c r="G402" s="202"/>
      <c r="H402" s="203"/>
      <c r="I402" s="248"/>
      <c r="J402" s="266">
        <v>1</v>
      </c>
      <c r="K402" s="323"/>
      <c r="L402" s="37"/>
      <c r="M402" s="39"/>
      <c r="N402" s="37"/>
    </row>
    <row r="403" spans="1:14" ht="18" customHeight="1" x14ac:dyDescent="0.35">
      <c r="A403"/>
      <c r="B403" s="17"/>
      <c r="C403" s="51" t="s">
        <v>352</v>
      </c>
      <c r="D403" s="58"/>
      <c r="E403" s="201"/>
      <c r="F403" s="202">
        <v>1</v>
      </c>
      <c r="G403" s="202"/>
      <c r="H403" s="203"/>
      <c r="I403" s="248"/>
      <c r="J403" s="266">
        <v>1</v>
      </c>
      <c r="K403" s="326"/>
      <c r="L403" s="37"/>
      <c r="M403" s="39"/>
      <c r="N403" s="37"/>
    </row>
    <row r="404" spans="1:14" ht="18" customHeight="1" x14ac:dyDescent="0.35">
      <c r="A404"/>
      <c r="B404" s="17"/>
      <c r="C404" s="51" t="s">
        <v>353</v>
      </c>
      <c r="D404" s="58"/>
      <c r="E404" s="201">
        <v>1</v>
      </c>
      <c r="F404" s="202"/>
      <c r="G404" s="202"/>
      <c r="H404" s="203"/>
      <c r="I404" s="248"/>
      <c r="J404" s="266">
        <v>1</v>
      </c>
      <c r="K404" s="323"/>
      <c r="L404" s="37"/>
      <c r="M404" s="39"/>
      <c r="N404" s="37"/>
    </row>
    <row r="405" spans="1:14" ht="18" customHeight="1" x14ac:dyDescent="0.35">
      <c r="A405"/>
      <c r="B405" s="17"/>
      <c r="C405" s="51" t="s">
        <v>354</v>
      </c>
      <c r="D405" s="58"/>
      <c r="E405" s="201">
        <v>1</v>
      </c>
      <c r="F405" s="202"/>
      <c r="G405" s="202"/>
      <c r="H405" s="203"/>
      <c r="I405" s="248"/>
      <c r="J405" s="266">
        <v>1</v>
      </c>
      <c r="K405" s="324"/>
      <c r="L405" s="37"/>
      <c r="M405" s="39"/>
      <c r="N405" s="37"/>
    </row>
    <row r="406" spans="1:14" ht="18" customHeight="1" x14ac:dyDescent="0.35">
      <c r="A406"/>
      <c r="B406" s="17"/>
      <c r="C406" s="51" t="s">
        <v>355</v>
      </c>
      <c r="D406" s="58"/>
      <c r="E406" s="201">
        <v>1</v>
      </c>
      <c r="F406" s="202"/>
      <c r="G406" s="202"/>
      <c r="H406" s="203"/>
      <c r="I406" s="248"/>
      <c r="J406" s="266">
        <v>1</v>
      </c>
      <c r="K406" s="323"/>
      <c r="L406" s="37"/>
      <c r="M406" s="39"/>
      <c r="N406" s="37"/>
    </row>
    <row r="407" spans="1:14" ht="18" customHeight="1" x14ac:dyDescent="0.35">
      <c r="A407"/>
      <c r="B407" s="17"/>
      <c r="C407" s="51" t="s">
        <v>356</v>
      </c>
      <c r="D407" s="58"/>
      <c r="E407" s="201"/>
      <c r="F407" s="202">
        <v>1</v>
      </c>
      <c r="G407" s="202"/>
      <c r="H407" s="203"/>
      <c r="I407" s="248"/>
      <c r="J407" s="266">
        <v>1</v>
      </c>
      <c r="K407" s="326"/>
      <c r="L407" s="37"/>
      <c r="M407" s="39"/>
      <c r="N407" s="37"/>
    </row>
    <row r="408" spans="1:14" ht="18" customHeight="1" x14ac:dyDescent="0.35">
      <c r="A408"/>
      <c r="B408" s="17"/>
      <c r="C408" s="51" t="s">
        <v>357</v>
      </c>
      <c r="D408" s="58"/>
      <c r="E408" s="201">
        <v>1</v>
      </c>
      <c r="F408" s="202"/>
      <c r="G408" s="202"/>
      <c r="H408" s="203"/>
      <c r="I408" s="248"/>
      <c r="J408" s="266">
        <v>1</v>
      </c>
      <c r="K408" s="323"/>
      <c r="L408" s="37"/>
      <c r="M408" s="39"/>
      <c r="N408" s="37"/>
    </row>
    <row r="409" spans="1:14" ht="18" customHeight="1" x14ac:dyDescent="0.35">
      <c r="A409"/>
      <c r="B409" s="17"/>
      <c r="C409" s="51" t="s">
        <v>358</v>
      </c>
      <c r="D409" s="58"/>
      <c r="E409" s="201">
        <v>1</v>
      </c>
      <c r="F409" s="202"/>
      <c r="G409" s="202"/>
      <c r="H409" s="203"/>
      <c r="I409" s="248"/>
      <c r="J409" s="266">
        <v>1</v>
      </c>
      <c r="K409" s="323"/>
      <c r="L409" s="37"/>
      <c r="M409" s="39"/>
      <c r="N409" s="37"/>
    </row>
    <row r="410" spans="1:14" ht="18" customHeight="1" x14ac:dyDescent="0.35">
      <c r="A410"/>
      <c r="B410" s="17"/>
      <c r="C410" s="53" t="s">
        <v>359</v>
      </c>
      <c r="D410" s="58"/>
      <c r="E410" s="201">
        <v>1</v>
      </c>
      <c r="F410" s="202"/>
      <c r="G410" s="202"/>
      <c r="H410" s="203"/>
      <c r="I410" s="248"/>
      <c r="J410" s="266">
        <v>1</v>
      </c>
      <c r="K410" s="323"/>
      <c r="L410" s="37"/>
      <c r="M410" s="39"/>
      <c r="N410" s="37"/>
    </row>
    <row r="411" spans="1:14" ht="18" customHeight="1" x14ac:dyDescent="0.35">
      <c r="A411"/>
      <c r="B411" s="17"/>
      <c r="C411" s="53" t="s">
        <v>360</v>
      </c>
      <c r="D411" s="58"/>
      <c r="E411" s="201">
        <v>1</v>
      </c>
      <c r="F411" s="202"/>
      <c r="G411" s="202"/>
      <c r="H411" s="203"/>
      <c r="I411" s="248"/>
      <c r="J411" s="266">
        <v>1</v>
      </c>
      <c r="K411" s="323"/>
      <c r="L411" s="37"/>
      <c r="M411" s="39"/>
      <c r="N411" s="37"/>
    </row>
    <row r="412" spans="1:14" ht="18" customHeight="1" x14ac:dyDescent="0.35">
      <c r="A412"/>
      <c r="B412" s="17"/>
      <c r="C412" s="53" t="s">
        <v>63</v>
      </c>
      <c r="D412" s="58"/>
      <c r="E412" s="201">
        <v>1</v>
      </c>
      <c r="F412" s="202"/>
      <c r="G412" s="202"/>
      <c r="H412" s="203"/>
      <c r="I412" s="248"/>
      <c r="J412" s="266">
        <v>1</v>
      </c>
      <c r="K412" s="323"/>
      <c r="L412" s="37"/>
      <c r="M412" s="39"/>
      <c r="N412" s="37"/>
    </row>
    <row r="413" spans="1:14" ht="18" customHeight="1" x14ac:dyDescent="0.35">
      <c r="A413"/>
      <c r="B413" s="17"/>
      <c r="C413" s="53" t="s">
        <v>361</v>
      </c>
      <c r="D413" s="58"/>
      <c r="E413" s="201">
        <v>1</v>
      </c>
      <c r="F413" s="202"/>
      <c r="G413" s="202"/>
      <c r="H413" s="203"/>
      <c r="I413" s="254"/>
      <c r="J413" s="266">
        <v>1</v>
      </c>
      <c r="K413" s="323"/>
      <c r="L413" s="37"/>
      <c r="M413" s="39"/>
      <c r="N413" s="37"/>
    </row>
    <row r="414" spans="1:14" ht="18" customHeight="1" x14ac:dyDescent="0.35">
      <c r="A414"/>
      <c r="B414" s="17"/>
      <c r="C414" s="53" t="s">
        <v>362</v>
      </c>
      <c r="D414" s="58"/>
      <c r="E414" s="201">
        <v>1</v>
      </c>
      <c r="F414" s="202"/>
      <c r="G414" s="202"/>
      <c r="H414" s="203"/>
      <c r="I414" s="255"/>
      <c r="J414" s="266">
        <v>1</v>
      </c>
      <c r="K414" s="326"/>
      <c r="L414" s="37"/>
      <c r="M414" s="39"/>
      <c r="N414" s="37"/>
    </row>
    <row r="415" spans="1:14" ht="18" customHeight="1" x14ac:dyDescent="0.35">
      <c r="A415"/>
      <c r="B415" s="17"/>
      <c r="C415" s="53" t="s">
        <v>363</v>
      </c>
      <c r="D415" s="58"/>
      <c r="E415" s="201">
        <v>1</v>
      </c>
      <c r="F415" s="202"/>
      <c r="G415" s="202"/>
      <c r="H415" s="203"/>
      <c r="I415" s="256"/>
      <c r="J415" s="266">
        <v>1</v>
      </c>
      <c r="K415" s="323"/>
      <c r="L415" s="37"/>
      <c r="M415" s="39"/>
      <c r="N415" s="37"/>
    </row>
    <row r="416" spans="1:14" ht="18" customHeight="1" x14ac:dyDescent="0.35">
      <c r="A416"/>
      <c r="B416" s="17"/>
      <c r="C416" s="51" t="s">
        <v>364</v>
      </c>
      <c r="D416" s="58"/>
      <c r="E416" s="201">
        <v>1</v>
      </c>
      <c r="F416" s="202"/>
      <c r="G416" s="202"/>
      <c r="H416" s="203"/>
      <c r="I416" s="248"/>
      <c r="J416" s="266">
        <v>1</v>
      </c>
      <c r="K416" s="323"/>
      <c r="L416" s="37"/>
      <c r="M416" s="39"/>
      <c r="N416" s="37"/>
    </row>
    <row r="417" spans="1:14" ht="18" customHeight="1" x14ac:dyDescent="0.35">
      <c r="A417"/>
      <c r="B417" s="17"/>
      <c r="C417" s="51" t="s">
        <v>365</v>
      </c>
      <c r="D417" s="58"/>
      <c r="E417" s="201">
        <v>1</v>
      </c>
      <c r="F417" s="202"/>
      <c r="G417" s="202"/>
      <c r="H417" s="203"/>
      <c r="I417" s="248"/>
      <c r="J417" s="266">
        <v>1</v>
      </c>
      <c r="K417" s="350" t="s">
        <v>366</v>
      </c>
      <c r="L417" s="37"/>
      <c r="M417" s="39"/>
      <c r="N417" s="37"/>
    </row>
    <row r="418" spans="1:14" ht="18" customHeight="1" x14ac:dyDescent="0.35">
      <c r="A418"/>
      <c r="B418" s="17"/>
      <c r="C418" s="51" t="s">
        <v>367</v>
      </c>
      <c r="D418" s="58"/>
      <c r="E418" s="201"/>
      <c r="F418" s="202">
        <v>1</v>
      </c>
      <c r="G418" s="202"/>
      <c r="H418" s="203"/>
      <c r="I418" s="248"/>
      <c r="J418" s="266">
        <v>1</v>
      </c>
      <c r="K418" s="351"/>
      <c r="L418" s="37"/>
      <c r="M418" s="39"/>
      <c r="N418" s="37"/>
    </row>
    <row r="419" spans="1:14" ht="18" customHeight="1" x14ac:dyDescent="0.35">
      <c r="A419"/>
      <c r="B419" s="17"/>
      <c r="C419" s="51" t="s">
        <v>368</v>
      </c>
      <c r="D419" s="58"/>
      <c r="E419" s="201">
        <v>1</v>
      </c>
      <c r="F419" s="202"/>
      <c r="G419" s="202"/>
      <c r="H419" s="203"/>
      <c r="I419" s="248"/>
      <c r="J419" s="266">
        <v>1</v>
      </c>
      <c r="K419" s="323"/>
      <c r="L419" s="37"/>
      <c r="M419" s="39"/>
      <c r="N419" s="37"/>
    </row>
    <row r="420" spans="1:14" ht="18" customHeight="1" x14ac:dyDescent="0.35">
      <c r="A420"/>
      <c r="B420" s="17"/>
      <c r="C420" s="51" t="s">
        <v>369</v>
      </c>
      <c r="D420" s="58"/>
      <c r="E420" s="201">
        <v>1</v>
      </c>
      <c r="F420" s="202"/>
      <c r="G420" s="202"/>
      <c r="H420" s="203"/>
      <c r="I420" s="248"/>
      <c r="J420" s="266">
        <v>1</v>
      </c>
      <c r="K420" s="323"/>
      <c r="L420" s="37"/>
      <c r="M420" s="39"/>
      <c r="N420" s="37"/>
    </row>
    <row r="421" spans="1:14" ht="18" customHeight="1" x14ac:dyDescent="0.35">
      <c r="A421"/>
      <c r="B421" s="17"/>
      <c r="C421" s="53" t="s">
        <v>370</v>
      </c>
      <c r="D421" s="58"/>
      <c r="E421" s="201">
        <v>1</v>
      </c>
      <c r="F421" s="202"/>
      <c r="G421" s="202"/>
      <c r="H421" s="203"/>
      <c r="I421" s="248"/>
      <c r="J421" s="266">
        <v>1</v>
      </c>
      <c r="K421" s="323"/>
      <c r="L421" s="37"/>
      <c r="M421" s="39"/>
      <c r="N421" s="37"/>
    </row>
    <row r="422" spans="1:14" ht="18" customHeight="1" x14ac:dyDescent="0.35">
      <c r="A422"/>
      <c r="B422" s="17"/>
      <c r="C422" s="53" t="s">
        <v>371</v>
      </c>
      <c r="D422" s="58"/>
      <c r="E422" s="201">
        <v>1</v>
      </c>
      <c r="F422" s="202"/>
      <c r="G422" s="202"/>
      <c r="H422" s="203"/>
      <c r="I422" s="248"/>
      <c r="J422" s="266">
        <v>1</v>
      </c>
      <c r="K422" s="323"/>
      <c r="L422" s="37"/>
      <c r="M422" s="39"/>
      <c r="N422" s="37"/>
    </row>
    <row r="423" spans="1:14" ht="18" customHeight="1" x14ac:dyDescent="0.35">
      <c r="A423"/>
      <c r="B423" s="17"/>
      <c r="C423" s="51" t="s">
        <v>372</v>
      </c>
      <c r="D423" s="58"/>
      <c r="E423" s="201">
        <v>1</v>
      </c>
      <c r="F423" s="202"/>
      <c r="G423" s="202"/>
      <c r="H423" s="203"/>
      <c r="I423" s="248"/>
      <c r="J423" s="266">
        <v>1</v>
      </c>
      <c r="K423" s="323"/>
      <c r="L423" s="37"/>
      <c r="M423" s="39"/>
      <c r="N423" s="37"/>
    </row>
    <row r="424" spans="1:14" ht="62.25" customHeight="1" x14ac:dyDescent="0.35">
      <c r="A424"/>
      <c r="B424" s="17"/>
      <c r="C424" s="51" t="s">
        <v>373</v>
      </c>
      <c r="D424" s="58"/>
      <c r="E424" s="201">
        <v>1</v>
      </c>
      <c r="F424" s="202"/>
      <c r="G424" s="202"/>
      <c r="H424" s="203"/>
      <c r="I424" s="248"/>
      <c r="J424" s="266">
        <v>1</v>
      </c>
      <c r="K424" s="324"/>
      <c r="L424" s="37"/>
      <c r="M424" s="39"/>
      <c r="N424" s="37"/>
    </row>
    <row r="425" spans="1:14" ht="18" customHeight="1" x14ac:dyDescent="0.35">
      <c r="A425"/>
      <c r="B425" s="17"/>
      <c r="C425" s="51" t="s">
        <v>374</v>
      </c>
      <c r="D425" s="58"/>
      <c r="E425" s="201">
        <v>1</v>
      </c>
      <c r="F425" s="202"/>
      <c r="G425" s="202"/>
      <c r="H425" s="203"/>
      <c r="I425" s="248"/>
      <c r="J425" s="266">
        <v>1</v>
      </c>
      <c r="K425" s="323"/>
      <c r="L425" s="37"/>
      <c r="M425" s="39"/>
      <c r="N425" s="37"/>
    </row>
    <row r="426" spans="1:14" ht="18" customHeight="1" x14ac:dyDescent="0.35">
      <c r="A426"/>
      <c r="B426" s="17"/>
      <c r="C426" s="51" t="s">
        <v>375</v>
      </c>
      <c r="D426" s="58"/>
      <c r="E426" s="201">
        <v>1</v>
      </c>
      <c r="F426" s="202"/>
      <c r="G426" s="202"/>
      <c r="H426" s="203"/>
      <c r="I426" s="248"/>
      <c r="J426" s="266">
        <v>1</v>
      </c>
      <c r="K426" s="323"/>
      <c r="L426" s="37"/>
      <c r="M426" s="39"/>
      <c r="N426" s="37"/>
    </row>
    <row r="427" spans="1:14" ht="18" customHeight="1" x14ac:dyDescent="0.35">
      <c r="A427"/>
      <c r="B427" s="17"/>
      <c r="C427" s="51" t="s">
        <v>376</v>
      </c>
      <c r="D427" s="58"/>
      <c r="E427" s="201">
        <v>1</v>
      </c>
      <c r="F427" s="202"/>
      <c r="G427" s="202"/>
      <c r="H427" s="203"/>
      <c r="I427" s="248"/>
      <c r="J427" s="266">
        <v>1</v>
      </c>
      <c r="K427" s="323"/>
      <c r="L427" s="37"/>
      <c r="M427" s="39"/>
      <c r="N427" s="37"/>
    </row>
    <row r="428" spans="1:14" ht="18" customHeight="1" x14ac:dyDescent="0.35">
      <c r="A428"/>
      <c r="B428" s="17"/>
      <c r="C428" s="51" t="s">
        <v>377</v>
      </c>
      <c r="D428" s="58"/>
      <c r="E428" s="201">
        <v>1</v>
      </c>
      <c r="F428" s="202"/>
      <c r="G428" s="202"/>
      <c r="H428" s="203"/>
      <c r="I428" s="248"/>
      <c r="J428" s="266">
        <v>1</v>
      </c>
      <c r="K428" s="323"/>
      <c r="L428" s="37"/>
      <c r="M428" s="39"/>
      <c r="N428" s="37"/>
    </row>
    <row r="429" spans="1:14" ht="18" customHeight="1" x14ac:dyDescent="0.35">
      <c r="A429"/>
      <c r="B429" s="17"/>
      <c r="C429" s="51" t="s">
        <v>378</v>
      </c>
      <c r="D429" s="58"/>
      <c r="E429" s="201">
        <v>1</v>
      </c>
      <c r="F429" s="202"/>
      <c r="G429" s="202"/>
      <c r="H429" s="203"/>
      <c r="I429" s="248"/>
      <c r="J429" s="266">
        <v>1</v>
      </c>
      <c r="K429" s="323"/>
      <c r="L429" s="37"/>
      <c r="M429" s="39"/>
      <c r="N429" s="37"/>
    </row>
    <row r="430" spans="1:14" ht="18" customHeight="1" x14ac:dyDescent="0.35">
      <c r="A430"/>
      <c r="B430" s="17"/>
      <c r="C430" s="51" t="s">
        <v>379</v>
      </c>
      <c r="D430" s="58"/>
      <c r="E430" s="201">
        <v>1</v>
      </c>
      <c r="F430" s="202"/>
      <c r="G430" s="202"/>
      <c r="H430" s="203"/>
      <c r="I430" s="249"/>
      <c r="J430" s="266">
        <v>1</v>
      </c>
      <c r="K430" s="323"/>
      <c r="L430" s="37"/>
      <c r="M430" s="39"/>
      <c r="N430" s="37"/>
    </row>
    <row r="431" spans="1:14" ht="18" customHeight="1" x14ac:dyDescent="0.35">
      <c r="A431"/>
      <c r="B431" s="17"/>
      <c r="C431" s="230" t="s">
        <v>380</v>
      </c>
      <c r="D431" s="58"/>
      <c r="E431" s="201">
        <v>1</v>
      </c>
      <c r="F431" s="202"/>
      <c r="G431" s="202"/>
      <c r="H431" s="202"/>
      <c r="I431" s="250"/>
      <c r="J431" s="266">
        <v>1</v>
      </c>
      <c r="K431" s="323"/>
      <c r="L431" s="37"/>
      <c r="M431" s="39"/>
      <c r="N431" s="37"/>
    </row>
    <row r="432" spans="1:14" ht="18" customHeight="1" x14ac:dyDescent="0.35">
      <c r="A432"/>
      <c r="B432" s="17"/>
      <c r="C432" s="53" t="s">
        <v>381</v>
      </c>
      <c r="D432" s="58"/>
      <c r="E432" s="201">
        <v>1</v>
      </c>
      <c r="F432" s="202"/>
      <c r="G432" s="202"/>
      <c r="H432" s="202"/>
      <c r="I432" s="239"/>
      <c r="J432" s="266">
        <v>1</v>
      </c>
      <c r="K432" s="323"/>
      <c r="L432" s="37"/>
      <c r="M432" s="39"/>
      <c r="N432" s="37"/>
    </row>
    <row r="433" spans="1:14" ht="18" customHeight="1" x14ac:dyDescent="0.35">
      <c r="A433"/>
      <c r="B433" s="17"/>
      <c r="C433" s="53" t="s">
        <v>382</v>
      </c>
      <c r="D433" s="58"/>
      <c r="E433" s="201">
        <v>1</v>
      </c>
      <c r="F433" s="202"/>
      <c r="G433" s="202"/>
      <c r="H433" s="202"/>
      <c r="I433" s="239"/>
      <c r="J433" s="266">
        <v>1</v>
      </c>
      <c r="K433" s="323"/>
      <c r="L433" s="37"/>
      <c r="M433" s="39"/>
      <c r="N433" s="37"/>
    </row>
    <row r="434" spans="1:14" ht="18" customHeight="1" x14ac:dyDescent="0.35">
      <c r="A434"/>
      <c r="B434" s="17"/>
      <c r="C434" s="53" t="s">
        <v>383</v>
      </c>
      <c r="D434" s="58"/>
      <c r="E434" s="201"/>
      <c r="F434" s="202">
        <v>1</v>
      </c>
      <c r="G434" s="202"/>
      <c r="H434" s="202"/>
      <c r="I434" s="239"/>
      <c r="J434" s="266">
        <v>1</v>
      </c>
      <c r="K434" s="326"/>
      <c r="L434" s="37"/>
      <c r="M434" s="39"/>
      <c r="N434" s="37"/>
    </row>
    <row r="435" spans="1:14" ht="18" customHeight="1" x14ac:dyDescent="0.35">
      <c r="A435"/>
      <c r="B435" s="17"/>
      <c r="C435" s="53" t="s">
        <v>384</v>
      </c>
      <c r="D435" s="58"/>
      <c r="E435" s="201"/>
      <c r="F435" s="202">
        <v>1</v>
      </c>
      <c r="G435" s="202"/>
      <c r="H435" s="202"/>
      <c r="I435" s="239"/>
      <c r="J435" s="266">
        <v>1</v>
      </c>
      <c r="K435" s="326"/>
      <c r="L435" s="37"/>
      <c r="M435" s="39"/>
      <c r="N435" s="37"/>
    </row>
    <row r="436" spans="1:14" ht="18" customHeight="1" x14ac:dyDescent="0.35">
      <c r="A436"/>
      <c r="B436" s="17"/>
      <c r="C436" s="53" t="s">
        <v>385</v>
      </c>
      <c r="D436" s="58"/>
      <c r="E436" s="201">
        <v>1</v>
      </c>
      <c r="F436" s="202"/>
      <c r="G436" s="202"/>
      <c r="H436" s="202"/>
      <c r="I436" s="239"/>
      <c r="J436" s="266">
        <v>1</v>
      </c>
      <c r="K436" s="323"/>
      <c r="L436" s="37"/>
      <c r="M436" s="39"/>
      <c r="N436" s="37"/>
    </row>
    <row r="437" spans="1:14" ht="18" customHeight="1" x14ac:dyDescent="0.35">
      <c r="A437"/>
      <c r="B437" s="17"/>
      <c r="C437" s="54" t="s">
        <v>386</v>
      </c>
      <c r="D437" s="58"/>
      <c r="E437" s="212">
        <v>1</v>
      </c>
      <c r="F437" s="213"/>
      <c r="G437" s="213"/>
      <c r="H437" s="213"/>
      <c r="I437" s="251"/>
      <c r="J437" s="266">
        <v>1</v>
      </c>
      <c r="K437" s="352"/>
      <c r="L437" s="37"/>
      <c r="M437" s="39"/>
      <c r="N437" s="37"/>
    </row>
    <row r="438" spans="1:14" ht="18" customHeight="1" x14ac:dyDescent="0.35">
      <c r="A438"/>
      <c r="B438" s="17"/>
      <c r="C438" s="54" t="s">
        <v>387</v>
      </c>
      <c r="D438" s="58"/>
      <c r="E438" s="212">
        <v>1</v>
      </c>
      <c r="F438" s="213"/>
      <c r="G438" s="213"/>
      <c r="H438" s="213"/>
      <c r="I438" s="251"/>
      <c r="J438" s="266">
        <v>1</v>
      </c>
      <c r="K438" s="352"/>
      <c r="L438" s="37"/>
      <c r="M438" s="39"/>
      <c r="N438" s="37"/>
    </row>
    <row r="439" spans="1:14" ht="18" customHeight="1" x14ac:dyDescent="0.35">
      <c r="A439"/>
      <c r="B439" s="17"/>
      <c r="C439" s="54" t="s">
        <v>388</v>
      </c>
      <c r="D439" s="58"/>
      <c r="E439" s="212">
        <v>1</v>
      </c>
      <c r="F439" s="213"/>
      <c r="G439" s="213"/>
      <c r="H439" s="213"/>
      <c r="I439" s="251"/>
      <c r="J439" s="266">
        <v>1</v>
      </c>
      <c r="K439" s="352"/>
      <c r="L439" s="37"/>
      <c r="M439" s="39"/>
      <c r="N439" s="37"/>
    </row>
    <row r="440" spans="1:14" ht="18" customHeight="1" x14ac:dyDescent="0.35">
      <c r="A440"/>
      <c r="B440" s="17"/>
      <c r="C440" s="55" t="s">
        <v>389</v>
      </c>
      <c r="D440" s="58"/>
      <c r="E440" s="212">
        <v>1</v>
      </c>
      <c r="F440" s="213"/>
      <c r="G440" s="213"/>
      <c r="H440" s="213"/>
      <c r="I440" s="251"/>
      <c r="J440" s="266">
        <v>1</v>
      </c>
      <c r="K440" s="352"/>
      <c r="L440" s="37"/>
      <c r="M440" s="39"/>
      <c r="N440" s="37"/>
    </row>
    <row r="441" spans="1:14" ht="18" customHeight="1" x14ac:dyDescent="0.35">
      <c r="A441"/>
      <c r="B441" s="17"/>
      <c r="C441" s="55" t="s">
        <v>390</v>
      </c>
      <c r="D441" s="58"/>
      <c r="E441" s="212">
        <v>1</v>
      </c>
      <c r="F441" s="213"/>
      <c r="G441" s="213"/>
      <c r="H441" s="213"/>
      <c r="I441" s="251"/>
      <c r="J441" s="266">
        <v>1</v>
      </c>
      <c r="K441" s="353"/>
      <c r="L441" s="37"/>
      <c r="M441" s="39"/>
      <c r="N441" s="37"/>
    </row>
    <row r="442" spans="1:14" ht="18" customHeight="1" x14ac:dyDescent="0.35">
      <c r="A442"/>
      <c r="B442" s="17"/>
      <c r="C442" s="55" t="s">
        <v>391</v>
      </c>
      <c r="D442" s="58"/>
      <c r="E442" s="212">
        <v>1</v>
      </c>
      <c r="F442" s="213"/>
      <c r="G442" s="213"/>
      <c r="H442" s="213"/>
      <c r="I442" s="251"/>
      <c r="J442" s="266">
        <v>1</v>
      </c>
      <c r="K442" s="353"/>
      <c r="L442" s="37"/>
      <c r="M442" s="39"/>
      <c r="N442" s="37"/>
    </row>
    <row r="443" spans="1:14" ht="18" customHeight="1" x14ac:dyDescent="0.35">
      <c r="A443"/>
      <c r="B443" s="17"/>
      <c r="C443" s="54" t="s">
        <v>392</v>
      </c>
      <c r="D443" s="58"/>
      <c r="E443" s="212">
        <v>1</v>
      </c>
      <c r="F443" s="213"/>
      <c r="G443" s="213"/>
      <c r="H443" s="213"/>
      <c r="I443" s="251"/>
      <c r="J443" s="266">
        <v>1</v>
      </c>
      <c r="K443" s="352"/>
      <c r="L443" s="37"/>
      <c r="M443" s="39"/>
      <c r="N443" s="37"/>
    </row>
    <row r="444" spans="1:14" s="142" customFormat="1" ht="18" customHeight="1" x14ac:dyDescent="0.35">
      <c r="B444" s="159"/>
      <c r="C444" s="54" t="s">
        <v>393</v>
      </c>
      <c r="D444" s="160"/>
      <c r="E444" s="215">
        <v>1</v>
      </c>
      <c r="F444" s="216"/>
      <c r="G444" s="216"/>
      <c r="H444" s="216"/>
      <c r="I444" s="257"/>
      <c r="J444" s="266">
        <v>1</v>
      </c>
      <c r="K444" s="354"/>
      <c r="L444" s="145"/>
      <c r="M444" s="146"/>
      <c r="N444" s="145"/>
    </row>
    <row r="445" spans="1:14" s="142" customFormat="1" ht="18" customHeight="1" x14ac:dyDescent="0.35">
      <c r="B445" s="159"/>
      <c r="C445" s="55" t="s">
        <v>394</v>
      </c>
      <c r="D445" s="160"/>
      <c r="E445" s="215">
        <v>1</v>
      </c>
      <c r="F445" s="216"/>
      <c r="G445" s="216"/>
      <c r="H445" s="216"/>
      <c r="I445" s="257"/>
      <c r="J445" s="266">
        <v>1</v>
      </c>
      <c r="K445" s="354"/>
      <c r="L445" s="145"/>
      <c r="M445" s="146"/>
      <c r="N445" s="145"/>
    </row>
    <row r="446" spans="1:14" s="142" customFormat="1" ht="18" customHeight="1" x14ac:dyDescent="0.35">
      <c r="B446" s="159"/>
      <c r="C446" s="54" t="s">
        <v>395</v>
      </c>
      <c r="D446" s="160"/>
      <c r="E446" s="215">
        <v>1</v>
      </c>
      <c r="F446" s="216"/>
      <c r="G446" s="216"/>
      <c r="H446" s="216"/>
      <c r="I446" s="257"/>
      <c r="J446" s="266">
        <v>1</v>
      </c>
      <c r="K446" s="355"/>
      <c r="L446" s="145"/>
      <c r="M446" s="146"/>
      <c r="N446" s="145"/>
    </row>
    <row r="447" spans="1:14" ht="18" customHeight="1" x14ac:dyDescent="0.35">
      <c r="A447"/>
      <c r="B447" s="17"/>
      <c r="C447" s="54" t="s">
        <v>396</v>
      </c>
      <c r="D447" s="58"/>
      <c r="E447" s="212"/>
      <c r="F447" s="213">
        <v>1</v>
      </c>
      <c r="G447" s="213"/>
      <c r="H447" s="213"/>
      <c r="I447" s="251"/>
      <c r="J447" s="266">
        <v>1</v>
      </c>
      <c r="K447" s="353"/>
      <c r="L447" s="37"/>
      <c r="M447" s="39"/>
      <c r="N447" s="37"/>
    </row>
    <row r="448" spans="1:14" ht="18" customHeight="1" x14ac:dyDescent="0.35">
      <c r="A448"/>
      <c r="B448" s="17"/>
      <c r="C448" s="54" t="s">
        <v>397</v>
      </c>
      <c r="D448" s="58"/>
      <c r="E448" s="212"/>
      <c r="F448" s="213">
        <v>1</v>
      </c>
      <c r="G448" s="213"/>
      <c r="H448" s="213"/>
      <c r="I448" s="251"/>
      <c r="J448" s="266">
        <v>1</v>
      </c>
      <c r="K448" s="352"/>
      <c r="L448" s="37"/>
      <c r="M448" s="39"/>
      <c r="N448" s="37"/>
    </row>
    <row r="449" spans="1:14" ht="18" customHeight="1" x14ac:dyDescent="0.35">
      <c r="A449"/>
      <c r="B449" s="17"/>
      <c r="C449" s="44" t="s">
        <v>398</v>
      </c>
      <c r="D449" s="58"/>
      <c r="E449" s="212">
        <v>1</v>
      </c>
      <c r="F449" s="213"/>
      <c r="G449" s="213"/>
      <c r="H449" s="213"/>
      <c r="I449" s="251"/>
      <c r="J449" s="266">
        <v>1</v>
      </c>
      <c r="K449" s="352"/>
      <c r="L449" s="37"/>
      <c r="M449" s="39"/>
      <c r="N449" s="37"/>
    </row>
    <row r="450" spans="1:14" ht="18" customHeight="1" thickBot="1" x14ac:dyDescent="0.4">
      <c r="A450"/>
      <c r="B450" s="17"/>
      <c r="C450" s="52"/>
      <c r="D450" s="58"/>
      <c r="E450" s="204"/>
      <c r="F450" s="205"/>
      <c r="G450" s="205"/>
      <c r="H450" s="205"/>
      <c r="I450" s="253"/>
      <c r="J450" s="252"/>
      <c r="K450" s="329"/>
      <c r="L450" s="37"/>
      <c r="M450" s="39"/>
      <c r="N450" s="37"/>
    </row>
    <row r="451" spans="1:14" ht="20.149999999999999" customHeight="1" x14ac:dyDescent="0.35">
      <c r="A451"/>
      <c r="B451" s="17"/>
      <c r="C451" s="28"/>
      <c r="D451" s="133"/>
      <c r="E451" s="195">
        <f t="shared" ref="E451:J451" si="6">SUM(E398:E450)</f>
        <v>45</v>
      </c>
      <c r="F451" s="195">
        <f t="shared" si="6"/>
        <v>7</v>
      </c>
      <c r="G451" s="195">
        <f t="shared" si="6"/>
        <v>0</v>
      </c>
      <c r="H451" s="195">
        <f t="shared" si="6"/>
        <v>0</v>
      </c>
      <c r="I451" s="195">
        <f t="shared" si="6"/>
        <v>0</v>
      </c>
      <c r="J451" s="195">
        <f t="shared" si="6"/>
        <v>52</v>
      </c>
      <c r="K451" s="330"/>
      <c r="L451" s="37"/>
      <c r="M451" s="39"/>
      <c r="N451" s="37"/>
    </row>
    <row r="452" spans="1:14" ht="20.149999999999999" customHeight="1" x14ac:dyDescent="0.35">
      <c r="A452"/>
      <c r="B452" s="17"/>
      <c r="C452" s="28"/>
      <c r="D452" s="133"/>
      <c r="E452" s="195"/>
      <c r="F452" s="195"/>
      <c r="G452" s="195"/>
      <c r="H452" s="195"/>
      <c r="I452" s="195"/>
      <c r="J452" s="195"/>
      <c r="K452" s="330"/>
      <c r="L452" s="37"/>
      <c r="M452" s="39"/>
      <c r="N452" s="37"/>
    </row>
    <row r="453" spans="1:14" s="135" customFormat="1" ht="22" customHeight="1" x14ac:dyDescent="0.35">
      <c r="B453" s="117">
        <v>1.8</v>
      </c>
      <c r="C453" s="100" t="s">
        <v>399</v>
      </c>
      <c r="D453" s="137"/>
      <c r="E453" s="217"/>
      <c r="F453" s="217"/>
      <c r="G453" s="217"/>
      <c r="H453" s="217"/>
      <c r="I453" s="217"/>
      <c r="J453" s="217"/>
      <c r="K453" s="356"/>
      <c r="L453" s="138"/>
      <c r="M453" s="139"/>
      <c r="N453" s="138"/>
    </row>
    <row r="454" spans="1:14" ht="22" customHeight="1" thickBot="1" x14ac:dyDescent="0.4">
      <c r="A454"/>
      <c r="B454" s="62"/>
      <c r="C454" s="63"/>
      <c r="D454" s="24"/>
      <c r="E454" s="211"/>
      <c r="F454" s="211"/>
      <c r="G454" s="211"/>
      <c r="H454" s="211"/>
      <c r="I454" s="211"/>
      <c r="J454" s="211"/>
      <c r="K454" s="330"/>
      <c r="L454" s="37"/>
      <c r="M454" s="39"/>
      <c r="N454" s="37"/>
    </row>
    <row r="455" spans="1:14" ht="22" customHeight="1" x14ac:dyDescent="0.35">
      <c r="A455"/>
      <c r="B455" s="62"/>
      <c r="C455" s="69" t="s">
        <v>38</v>
      </c>
      <c r="D455" s="24"/>
      <c r="E455" s="198" t="s">
        <v>20</v>
      </c>
      <c r="F455" s="198" t="s">
        <v>24</v>
      </c>
      <c r="G455" s="198" t="s">
        <v>27</v>
      </c>
      <c r="H455" s="198" t="s">
        <v>29</v>
      </c>
      <c r="I455" s="199" t="s">
        <v>32</v>
      </c>
      <c r="J455" s="200" t="s">
        <v>35</v>
      </c>
      <c r="K455" s="331" t="s">
        <v>39</v>
      </c>
      <c r="L455" s="37"/>
      <c r="M455" s="39"/>
      <c r="N455" s="37"/>
    </row>
    <row r="456" spans="1:14" ht="18" customHeight="1" x14ac:dyDescent="0.35">
      <c r="A456"/>
      <c r="B456" s="62"/>
      <c r="C456" s="109" t="s">
        <v>400</v>
      </c>
      <c r="D456" s="39"/>
      <c r="E456" s="218">
        <v>1</v>
      </c>
      <c r="F456" s="202"/>
      <c r="G456" s="202"/>
      <c r="H456" s="202"/>
      <c r="I456" s="239"/>
      <c r="J456" s="266">
        <v>1</v>
      </c>
      <c r="K456" s="357"/>
      <c r="L456" s="37"/>
      <c r="M456" s="39"/>
      <c r="N456" s="37"/>
    </row>
    <row r="457" spans="1:14" ht="18" customHeight="1" x14ac:dyDescent="0.35">
      <c r="A457"/>
      <c r="B457" s="62"/>
      <c r="C457" s="181" t="s">
        <v>346</v>
      </c>
      <c r="D457" s="39"/>
      <c r="E457" s="218">
        <v>1</v>
      </c>
      <c r="F457" s="202"/>
      <c r="G457" s="202"/>
      <c r="H457" s="202"/>
      <c r="I457" s="239"/>
      <c r="J457" s="266">
        <v>1</v>
      </c>
      <c r="K457" s="357"/>
      <c r="L457" s="37"/>
      <c r="M457" s="39"/>
      <c r="N457" s="37"/>
    </row>
    <row r="458" spans="1:14" ht="18" customHeight="1" x14ac:dyDescent="0.35">
      <c r="A458"/>
      <c r="B458" s="62"/>
      <c r="C458" s="110" t="s">
        <v>401</v>
      </c>
      <c r="D458" s="39"/>
      <c r="E458" s="218">
        <v>1</v>
      </c>
      <c r="F458" s="202"/>
      <c r="G458" s="202"/>
      <c r="H458" s="202"/>
      <c r="I458" s="239"/>
      <c r="J458" s="266">
        <v>1</v>
      </c>
      <c r="K458" s="357"/>
      <c r="L458" s="37"/>
      <c r="M458" s="39"/>
      <c r="N458" s="37"/>
    </row>
    <row r="459" spans="1:14" ht="18" customHeight="1" x14ac:dyDescent="0.35">
      <c r="A459"/>
      <c r="B459" s="62"/>
      <c r="C459" s="110" t="s">
        <v>402</v>
      </c>
      <c r="D459" s="39"/>
      <c r="E459" s="218">
        <v>1</v>
      </c>
      <c r="F459" s="202"/>
      <c r="G459" s="202"/>
      <c r="H459" s="202"/>
      <c r="I459" s="239"/>
      <c r="J459" s="266">
        <v>1</v>
      </c>
      <c r="K459" s="357"/>
      <c r="L459" s="37"/>
      <c r="M459" s="39"/>
      <c r="N459" s="37"/>
    </row>
    <row r="460" spans="1:14" ht="87.75" customHeight="1" x14ac:dyDescent="0.35">
      <c r="A460"/>
      <c r="B460" s="62"/>
      <c r="C460" s="110" t="s">
        <v>403</v>
      </c>
      <c r="D460" s="39"/>
      <c r="E460" s="218">
        <v>1</v>
      </c>
      <c r="F460" s="202"/>
      <c r="G460" s="202"/>
      <c r="H460" s="202"/>
      <c r="I460" s="239"/>
      <c r="J460" s="266">
        <v>1</v>
      </c>
      <c r="K460" s="358" t="s">
        <v>404</v>
      </c>
      <c r="L460" s="37"/>
      <c r="M460" s="39"/>
      <c r="N460" s="37"/>
    </row>
    <row r="461" spans="1:14" ht="18" customHeight="1" x14ac:dyDescent="0.35">
      <c r="A461"/>
      <c r="B461" s="62"/>
      <c r="C461" s="110" t="s">
        <v>405</v>
      </c>
      <c r="D461" s="39"/>
      <c r="E461" s="218">
        <v>1</v>
      </c>
      <c r="F461" s="202"/>
      <c r="G461" s="202"/>
      <c r="H461" s="202"/>
      <c r="I461" s="239"/>
      <c r="J461" s="266">
        <v>1</v>
      </c>
      <c r="K461" s="357"/>
      <c r="L461" s="37"/>
      <c r="M461" s="39"/>
      <c r="N461" s="37"/>
    </row>
    <row r="462" spans="1:14" ht="18" customHeight="1" x14ac:dyDescent="0.35">
      <c r="A462"/>
      <c r="B462" s="62"/>
      <c r="C462" s="109" t="s">
        <v>406</v>
      </c>
      <c r="D462" s="39"/>
      <c r="E462" s="218">
        <v>1</v>
      </c>
      <c r="F462" s="202"/>
      <c r="G462" s="202"/>
      <c r="H462" s="202"/>
      <c r="I462" s="239"/>
      <c r="J462" s="266">
        <v>1</v>
      </c>
      <c r="K462" s="357"/>
      <c r="L462" s="37"/>
      <c r="M462" s="39"/>
      <c r="N462" s="37"/>
    </row>
    <row r="463" spans="1:14" ht="18" customHeight="1" x14ac:dyDescent="0.35">
      <c r="A463"/>
      <c r="B463" s="62"/>
      <c r="C463" s="109" t="s">
        <v>407</v>
      </c>
      <c r="D463" s="39"/>
      <c r="E463" s="218">
        <v>1</v>
      </c>
      <c r="F463" s="202"/>
      <c r="G463" s="202"/>
      <c r="H463" s="202"/>
      <c r="I463" s="239"/>
      <c r="J463" s="266">
        <v>1</v>
      </c>
      <c r="K463" s="357"/>
      <c r="L463" s="37"/>
      <c r="M463" s="39"/>
      <c r="N463" s="37"/>
    </row>
    <row r="464" spans="1:14" ht="18" customHeight="1" x14ac:dyDescent="0.35">
      <c r="A464"/>
      <c r="B464" s="62"/>
      <c r="C464" s="109" t="s">
        <v>408</v>
      </c>
      <c r="D464" s="39"/>
      <c r="E464" s="218">
        <v>1</v>
      </c>
      <c r="F464" s="202"/>
      <c r="G464" s="202"/>
      <c r="H464" s="202"/>
      <c r="I464" s="239"/>
      <c r="J464" s="266">
        <v>1</v>
      </c>
      <c r="K464" s="357"/>
      <c r="L464" s="37"/>
      <c r="M464" s="39"/>
      <c r="N464" s="37"/>
    </row>
    <row r="465" spans="1:14" ht="18" customHeight="1" x14ac:dyDescent="0.35">
      <c r="A465"/>
      <c r="B465" s="62"/>
      <c r="C465" s="109" t="s">
        <v>409</v>
      </c>
      <c r="D465" s="39"/>
      <c r="E465" s="218">
        <v>1</v>
      </c>
      <c r="F465" s="202"/>
      <c r="G465" s="202"/>
      <c r="H465" s="202"/>
      <c r="I465" s="239"/>
      <c r="J465" s="266">
        <v>1</v>
      </c>
      <c r="K465" s="357"/>
      <c r="L465" s="37"/>
      <c r="M465" s="39"/>
      <c r="N465" s="37"/>
    </row>
    <row r="466" spans="1:14" ht="18" customHeight="1" x14ac:dyDescent="0.35">
      <c r="A466"/>
      <c r="B466" s="62"/>
      <c r="C466" s="109" t="s">
        <v>410</v>
      </c>
      <c r="D466" s="39"/>
      <c r="E466" s="218">
        <v>1</v>
      </c>
      <c r="F466" s="202"/>
      <c r="G466" s="202"/>
      <c r="H466" s="202"/>
      <c r="I466" s="239"/>
      <c r="J466" s="266">
        <v>1</v>
      </c>
      <c r="K466" s="357"/>
      <c r="L466" s="37"/>
      <c r="M466" s="39"/>
      <c r="N466" s="37"/>
    </row>
    <row r="467" spans="1:14" ht="18" customHeight="1" x14ac:dyDescent="0.35">
      <c r="A467"/>
      <c r="B467" s="62"/>
      <c r="C467" s="109" t="s">
        <v>411</v>
      </c>
      <c r="D467" s="39"/>
      <c r="E467" s="218">
        <v>1</v>
      </c>
      <c r="F467" s="202"/>
      <c r="G467" s="202"/>
      <c r="H467" s="202"/>
      <c r="I467" s="239"/>
      <c r="J467" s="266">
        <v>1</v>
      </c>
      <c r="K467" s="357"/>
      <c r="L467" s="37"/>
      <c r="M467" s="39"/>
      <c r="N467" s="37"/>
    </row>
    <row r="468" spans="1:14" ht="18" customHeight="1" x14ac:dyDescent="0.35">
      <c r="A468"/>
      <c r="B468" s="62"/>
      <c r="C468" s="110" t="s">
        <v>412</v>
      </c>
      <c r="D468" s="39"/>
      <c r="E468" s="218">
        <v>1</v>
      </c>
      <c r="F468" s="202"/>
      <c r="G468" s="202"/>
      <c r="H468" s="202"/>
      <c r="I468" s="239"/>
      <c r="J468" s="266">
        <v>1</v>
      </c>
      <c r="K468" s="357"/>
      <c r="L468" s="37"/>
      <c r="M468" s="39"/>
      <c r="N468" s="37"/>
    </row>
    <row r="469" spans="1:14" ht="18" customHeight="1" x14ac:dyDescent="0.35">
      <c r="A469"/>
      <c r="B469" s="62"/>
      <c r="C469" s="110" t="s">
        <v>413</v>
      </c>
      <c r="D469" s="39"/>
      <c r="E469" s="218">
        <v>1</v>
      </c>
      <c r="F469" s="202"/>
      <c r="G469" s="202"/>
      <c r="H469" s="202"/>
      <c r="I469" s="239"/>
      <c r="J469" s="266">
        <v>1</v>
      </c>
      <c r="K469" s="357"/>
      <c r="L469" s="37"/>
      <c r="M469" s="39"/>
      <c r="N469" s="37"/>
    </row>
    <row r="470" spans="1:14" ht="18" customHeight="1" x14ac:dyDescent="0.35">
      <c r="A470"/>
      <c r="B470" s="62"/>
      <c r="C470" s="110" t="s">
        <v>414</v>
      </c>
      <c r="D470" s="39"/>
      <c r="E470" s="218">
        <v>1</v>
      </c>
      <c r="F470" s="202"/>
      <c r="G470" s="202"/>
      <c r="H470" s="202"/>
      <c r="I470" s="239"/>
      <c r="J470" s="266">
        <v>1</v>
      </c>
      <c r="K470" s="357"/>
      <c r="L470" s="37"/>
      <c r="M470" s="39"/>
      <c r="N470" s="37"/>
    </row>
    <row r="471" spans="1:14" ht="18" customHeight="1" x14ac:dyDescent="0.35">
      <c r="A471"/>
      <c r="B471" s="62"/>
      <c r="C471" s="110" t="s">
        <v>415</v>
      </c>
      <c r="D471" s="39"/>
      <c r="E471" s="218">
        <v>1</v>
      </c>
      <c r="F471" s="202"/>
      <c r="G471" s="202"/>
      <c r="H471" s="202"/>
      <c r="I471" s="239"/>
      <c r="J471" s="266">
        <v>1</v>
      </c>
      <c r="K471" s="357"/>
      <c r="L471" s="37"/>
      <c r="M471" s="39"/>
      <c r="N471" s="37"/>
    </row>
    <row r="472" spans="1:14" ht="18" customHeight="1" x14ac:dyDescent="0.35">
      <c r="A472"/>
      <c r="B472" s="62"/>
      <c r="C472" s="110" t="s">
        <v>416</v>
      </c>
      <c r="D472" s="39"/>
      <c r="E472" s="218">
        <v>1</v>
      </c>
      <c r="F472" s="202"/>
      <c r="G472" s="202"/>
      <c r="H472" s="202"/>
      <c r="I472" s="239"/>
      <c r="J472" s="266">
        <v>1</v>
      </c>
      <c r="K472" s="357"/>
      <c r="L472" s="37"/>
      <c r="M472" s="39"/>
      <c r="N472" s="37"/>
    </row>
    <row r="473" spans="1:14" ht="18" customHeight="1" x14ac:dyDescent="0.35">
      <c r="A473"/>
      <c r="B473" s="62"/>
      <c r="C473" s="110" t="s">
        <v>417</v>
      </c>
      <c r="D473" s="39"/>
      <c r="E473" s="218">
        <v>1</v>
      </c>
      <c r="F473" s="202"/>
      <c r="G473" s="202"/>
      <c r="H473" s="202"/>
      <c r="I473" s="239"/>
      <c r="J473" s="266">
        <v>1</v>
      </c>
      <c r="K473" s="357"/>
      <c r="L473" s="37"/>
      <c r="M473" s="39"/>
      <c r="N473" s="37"/>
    </row>
    <row r="474" spans="1:14" ht="18" customHeight="1" x14ac:dyDescent="0.35">
      <c r="A474"/>
      <c r="B474" s="62"/>
      <c r="C474" s="110" t="s">
        <v>317</v>
      </c>
      <c r="D474" s="39"/>
      <c r="E474" s="218">
        <v>1</v>
      </c>
      <c r="F474" s="202"/>
      <c r="G474" s="202"/>
      <c r="H474" s="202"/>
      <c r="I474" s="239"/>
      <c r="J474" s="266">
        <v>1</v>
      </c>
      <c r="K474" s="357"/>
      <c r="L474" s="37"/>
      <c r="M474" s="39"/>
      <c r="N474" s="37"/>
    </row>
    <row r="475" spans="1:14" ht="18" customHeight="1" x14ac:dyDescent="0.35">
      <c r="A475"/>
      <c r="B475" s="62"/>
      <c r="C475" s="110" t="s">
        <v>418</v>
      </c>
      <c r="D475" s="39"/>
      <c r="E475" s="218">
        <v>1</v>
      </c>
      <c r="F475" s="202"/>
      <c r="G475" s="202"/>
      <c r="H475" s="202"/>
      <c r="I475" s="239"/>
      <c r="J475" s="266">
        <v>1</v>
      </c>
      <c r="K475" s="357"/>
      <c r="L475" s="37"/>
      <c r="M475" s="39"/>
      <c r="N475" s="37"/>
    </row>
    <row r="476" spans="1:14" ht="18" customHeight="1" x14ac:dyDescent="0.35">
      <c r="A476"/>
      <c r="B476" s="62"/>
      <c r="C476" s="109" t="s">
        <v>419</v>
      </c>
      <c r="D476" s="39"/>
      <c r="E476" s="218">
        <v>1</v>
      </c>
      <c r="F476" s="202"/>
      <c r="G476" s="202"/>
      <c r="H476" s="202"/>
      <c r="I476" s="239"/>
      <c r="J476" s="266">
        <v>1</v>
      </c>
      <c r="K476" s="357"/>
      <c r="L476" s="37"/>
      <c r="M476" s="39"/>
      <c r="N476" s="37"/>
    </row>
    <row r="477" spans="1:14" ht="18" customHeight="1" x14ac:dyDescent="0.35">
      <c r="A477"/>
      <c r="B477" s="62"/>
      <c r="C477" s="109" t="s">
        <v>420</v>
      </c>
      <c r="D477" s="39"/>
      <c r="E477" s="218">
        <v>1</v>
      </c>
      <c r="F477" s="202"/>
      <c r="G477" s="202"/>
      <c r="H477" s="202"/>
      <c r="I477" s="239"/>
      <c r="J477" s="266">
        <v>1</v>
      </c>
      <c r="K477" s="357"/>
      <c r="L477" s="37"/>
      <c r="M477" s="39"/>
      <c r="N477" s="37"/>
    </row>
    <row r="478" spans="1:14" ht="18" customHeight="1" x14ac:dyDescent="0.35">
      <c r="A478"/>
      <c r="B478" s="62"/>
      <c r="C478" s="109" t="s">
        <v>421</v>
      </c>
      <c r="D478" s="39"/>
      <c r="E478" s="218">
        <v>1</v>
      </c>
      <c r="F478" s="202"/>
      <c r="G478" s="202"/>
      <c r="H478" s="202"/>
      <c r="I478" s="239"/>
      <c r="J478" s="266">
        <v>1</v>
      </c>
      <c r="K478" s="357"/>
      <c r="L478" s="37"/>
      <c r="M478" s="39"/>
      <c r="N478" s="37"/>
    </row>
    <row r="479" spans="1:14" ht="18" customHeight="1" x14ac:dyDescent="0.35">
      <c r="A479"/>
      <c r="B479" s="62"/>
      <c r="C479" s="109" t="s">
        <v>422</v>
      </c>
      <c r="D479" s="39"/>
      <c r="E479" s="218">
        <v>1</v>
      </c>
      <c r="F479" s="202"/>
      <c r="G479" s="202"/>
      <c r="H479" s="202"/>
      <c r="I479" s="239"/>
      <c r="J479" s="266">
        <v>1</v>
      </c>
      <c r="K479" s="357"/>
      <c r="L479" s="37"/>
      <c r="M479" s="39"/>
      <c r="N479" s="37"/>
    </row>
    <row r="480" spans="1:14" ht="159.75" customHeight="1" x14ac:dyDescent="0.35">
      <c r="A480"/>
      <c r="B480" s="62"/>
      <c r="C480" s="109" t="s">
        <v>423</v>
      </c>
      <c r="D480" s="39"/>
      <c r="E480" s="218">
        <v>1</v>
      </c>
      <c r="F480" s="202"/>
      <c r="G480" s="202"/>
      <c r="H480" s="202"/>
      <c r="I480" s="239"/>
      <c r="J480" s="266"/>
      <c r="K480" s="358" t="s">
        <v>424</v>
      </c>
      <c r="L480" s="37"/>
      <c r="M480" s="39"/>
      <c r="N480" s="37"/>
    </row>
    <row r="481" spans="1:14" ht="18" customHeight="1" x14ac:dyDescent="0.35">
      <c r="A481"/>
      <c r="B481" s="62"/>
      <c r="C481" s="109" t="s">
        <v>425</v>
      </c>
      <c r="D481" s="39"/>
      <c r="E481" s="218">
        <v>1</v>
      </c>
      <c r="F481" s="202"/>
      <c r="G481" s="202"/>
      <c r="H481" s="202"/>
      <c r="I481" s="239"/>
      <c r="J481" s="266">
        <v>1</v>
      </c>
      <c r="K481" s="357"/>
      <c r="L481" s="37"/>
      <c r="M481" s="39"/>
      <c r="N481" s="37"/>
    </row>
    <row r="482" spans="1:14" ht="18" customHeight="1" x14ac:dyDescent="0.35">
      <c r="A482"/>
      <c r="B482" s="62"/>
      <c r="C482" s="109" t="s">
        <v>426</v>
      </c>
      <c r="D482" s="39"/>
      <c r="E482" s="218">
        <v>1</v>
      </c>
      <c r="F482" s="202"/>
      <c r="G482" s="202"/>
      <c r="H482" s="202"/>
      <c r="I482" s="239"/>
      <c r="J482" s="266">
        <v>1</v>
      </c>
      <c r="K482" s="357"/>
      <c r="L482" s="37"/>
      <c r="M482" s="39"/>
      <c r="N482" s="37"/>
    </row>
    <row r="483" spans="1:14" ht="18" customHeight="1" x14ac:dyDescent="0.35">
      <c r="A483"/>
      <c r="B483" s="62"/>
      <c r="C483" s="109" t="s">
        <v>427</v>
      </c>
      <c r="D483" s="39"/>
      <c r="E483" s="218">
        <v>1</v>
      </c>
      <c r="F483" s="202"/>
      <c r="G483" s="202"/>
      <c r="H483" s="202"/>
      <c r="I483" s="239"/>
      <c r="J483" s="276">
        <v>1</v>
      </c>
      <c r="K483" s="357"/>
      <c r="L483" s="37"/>
      <c r="M483" s="39"/>
      <c r="N483" s="37"/>
    </row>
    <row r="484" spans="1:14" ht="18" customHeight="1" x14ac:dyDescent="0.35">
      <c r="A484"/>
      <c r="B484" s="62"/>
      <c r="C484" s="109" t="s">
        <v>428</v>
      </c>
      <c r="D484" s="39"/>
      <c r="E484" s="218">
        <v>1</v>
      </c>
      <c r="F484" s="202"/>
      <c r="G484" s="202"/>
      <c r="H484" s="202"/>
      <c r="I484" s="203"/>
      <c r="J484" s="271">
        <v>1</v>
      </c>
      <c r="K484" s="359"/>
      <c r="L484" s="37"/>
      <c r="M484" s="39"/>
      <c r="N484" s="37"/>
    </row>
    <row r="485" spans="1:14" ht="18" customHeight="1" x14ac:dyDescent="0.35">
      <c r="A485"/>
      <c r="B485" s="62"/>
      <c r="C485" s="109" t="s">
        <v>429</v>
      </c>
      <c r="D485" s="39"/>
      <c r="E485" s="218">
        <v>1</v>
      </c>
      <c r="F485" s="202"/>
      <c r="G485" s="202"/>
      <c r="H485" s="202"/>
      <c r="I485" s="203"/>
      <c r="J485" s="272">
        <v>1</v>
      </c>
      <c r="K485" s="359"/>
      <c r="L485" s="37"/>
      <c r="M485" s="39"/>
      <c r="N485" s="37"/>
    </row>
    <row r="486" spans="1:14" ht="18" customHeight="1" x14ac:dyDescent="0.35">
      <c r="A486"/>
      <c r="B486" s="62"/>
      <c r="C486" s="109" t="s">
        <v>430</v>
      </c>
      <c r="D486" s="39"/>
      <c r="E486" s="218">
        <v>1</v>
      </c>
      <c r="F486" s="202"/>
      <c r="G486" s="202"/>
      <c r="H486" s="202"/>
      <c r="I486" s="203"/>
      <c r="J486" s="272">
        <v>1</v>
      </c>
      <c r="K486" s="360"/>
      <c r="L486" s="37"/>
      <c r="M486" s="39"/>
      <c r="N486" s="37"/>
    </row>
    <row r="487" spans="1:14" ht="18" customHeight="1" x14ac:dyDescent="0.35">
      <c r="A487"/>
      <c r="B487" s="62"/>
      <c r="C487" s="109" t="s">
        <v>431</v>
      </c>
      <c r="D487" s="39"/>
      <c r="E487" s="218">
        <v>1</v>
      </c>
      <c r="F487" s="202"/>
      <c r="G487" s="202"/>
      <c r="H487" s="202"/>
      <c r="I487" s="203"/>
      <c r="J487" s="272">
        <v>1</v>
      </c>
      <c r="K487" s="359"/>
      <c r="L487" s="37"/>
      <c r="M487" s="39"/>
      <c r="N487" s="37"/>
    </row>
    <row r="488" spans="1:14" ht="18" customHeight="1" x14ac:dyDescent="0.35">
      <c r="A488"/>
      <c r="B488" s="62"/>
      <c r="C488" s="110" t="s">
        <v>432</v>
      </c>
      <c r="D488" s="39"/>
      <c r="E488" s="218">
        <v>1</v>
      </c>
      <c r="F488" s="202"/>
      <c r="G488" s="202"/>
      <c r="H488" s="202"/>
      <c r="I488" s="203"/>
      <c r="J488" s="272">
        <v>1</v>
      </c>
      <c r="K488" s="359"/>
      <c r="L488" s="37"/>
      <c r="M488" s="39"/>
      <c r="N488" s="37"/>
    </row>
    <row r="489" spans="1:14" ht="18" customHeight="1" x14ac:dyDescent="0.35">
      <c r="A489"/>
      <c r="B489" s="62"/>
      <c r="C489" s="110" t="s">
        <v>433</v>
      </c>
      <c r="D489" s="39"/>
      <c r="E489" s="218">
        <v>1</v>
      </c>
      <c r="F489" s="202"/>
      <c r="G489" s="202"/>
      <c r="H489" s="202"/>
      <c r="I489" s="203"/>
      <c r="J489" s="272">
        <v>1</v>
      </c>
      <c r="K489" s="359"/>
      <c r="L489" s="37"/>
      <c r="M489" s="39"/>
      <c r="N489" s="37"/>
    </row>
    <row r="490" spans="1:14" ht="18" customHeight="1" x14ac:dyDescent="0.35">
      <c r="A490"/>
      <c r="B490" s="62"/>
      <c r="C490" s="110" t="s">
        <v>434</v>
      </c>
      <c r="D490" s="39"/>
      <c r="E490" s="218">
        <v>1</v>
      </c>
      <c r="F490" s="202"/>
      <c r="G490" s="202"/>
      <c r="H490" s="202"/>
      <c r="I490" s="203"/>
      <c r="J490" s="272">
        <v>1</v>
      </c>
      <c r="K490" s="359"/>
      <c r="L490" s="37"/>
      <c r="M490" s="39"/>
      <c r="N490" s="37"/>
    </row>
    <row r="491" spans="1:14" ht="18" customHeight="1" x14ac:dyDescent="0.35">
      <c r="A491"/>
      <c r="B491" s="62"/>
      <c r="C491" s="110" t="s">
        <v>416</v>
      </c>
      <c r="D491" s="39"/>
      <c r="E491" s="218">
        <v>1</v>
      </c>
      <c r="F491" s="202"/>
      <c r="G491" s="202"/>
      <c r="H491" s="202"/>
      <c r="I491" s="203"/>
      <c r="J491" s="272">
        <v>1</v>
      </c>
      <c r="K491" s="359"/>
      <c r="L491" s="37"/>
      <c r="M491" s="39"/>
      <c r="N491" s="37"/>
    </row>
    <row r="492" spans="1:14" ht="18" customHeight="1" x14ac:dyDescent="0.35">
      <c r="A492"/>
      <c r="B492" s="62"/>
      <c r="C492" s="110" t="s">
        <v>435</v>
      </c>
      <c r="D492" s="39"/>
      <c r="E492" s="218">
        <v>1</v>
      </c>
      <c r="F492" s="202"/>
      <c r="G492" s="202"/>
      <c r="H492" s="202"/>
      <c r="I492" s="203"/>
      <c r="J492" s="272">
        <v>1</v>
      </c>
      <c r="K492" s="359"/>
      <c r="L492" s="37"/>
      <c r="M492" s="39"/>
      <c r="N492" s="37"/>
    </row>
    <row r="493" spans="1:14" ht="18" customHeight="1" x14ac:dyDescent="0.35">
      <c r="A493"/>
      <c r="B493" s="62"/>
      <c r="C493" s="110" t="s">
        <v>317</v>
      </c>
      <c r="D493" s="39"/>
      <c r="E493" s="218">
        <v>1</v>
      </c>
      <c r="F493" s="202"/>
      <c r="G493" s="202"/>
      <c r="H493" s="202"/>
      <c r="I493" s="203"/>
      <c r="J493" s="272">
        <v>1</v>
      </c>
      <c r="K493" s="359"/>
      <c r="L493" s="37"/>
      <c r="M493" s="39"/>
      <c r="N493" s="37"/>
    </row>
    <row r="494" spans="1:14" ht="18" customHeight="1" x14ac:dyDescent="0.35">
      <c r="A494"/>
      <c r="B494" s="62"/>
      <c r="C494" s="110" t="s">
        <v>436</v>
      </c>
      <c r="D494" s="39"/>
      <c r="E494" s="218">
        <v>1</v>
      </c>
      <c r="F494" s="202"/>
      <c r="G494" s="202"/>
      <c r="H494" s="202"/>
      <c r="I494" s="203"/>
      <c r="J494" s="272">
        <v>1</v>
      </c>
      <c r="K494" s="359"/>
      <c r="L494" s="37"/>
      <c r="M494" s="39"/>
      <c r="N494" s="37"/>
    </row>
    <row r="495" spans="1:14" ht="18" customHeight="1" x14ac:dyDescent="0.35">
      <c r="A495"/>
      <c r="B495" s="62"/>
      <c r="C495" s="109" t="s">
        <v>437</v>
      </c>
      <c r="D495" s="39"/>
      <c r="E495" s="218">
        <v>1</v>
      </c>
      <c r="F495" s="202"/>
      <c r="G495" s="202"/>
      <c r="H495" s="202"/>
      <c r="I495" s="203"/>
      <c r="J495" s="272">
        <v>1</v>
      </c>
      <c r="K495" s="359"/>
      <c r="L495" s="37"/>
      <c r="M495" s="39"/>
      <c r="N495" s="37"/>
    </row>
    <row r="496" spans="1:14" ht="18" customHeight="1" x14ac:dyDescent="0.35">
      <c r="A496"/>
      <c r="B496" s="62"/>
      <c r="C496" s="109" t="s">
        <v>438</v>
      </c>
      <c r="D496" s="39"/>
      <c r="E496" s="218">
        <v>1</v>
      </c>
      <c r="F496" s="202"/>
      <c r="G496" s="202"/>
      <c r="H496" s="202"/>
      <c r="I496" s="203"/>
      <c r="J496" s="273">
        <v>1</v>
      </c>
      <c r="K496" s="359"/>
      <c r="L496" s="37"/>
      <c r="M496" s="39"/>
      <c r="N496" s="37"/>
    </row>
    <row r="497" spans="1:14" ht="18" customHeight="1" x14ac:dyDescent="0.35">
      <c r="A497"/>
      <c r="B497" s="62"/>
      <c r="C497" s="109" t="s">
        <v>439</v>
      </c>
      <c r="D497" s="39"/>
      <c r="E497" s="218">
        <v>1</v>
      </c>
      <c r="F497" s="202"/>
      <c r="G497" s="202"/>
      <c r="H497" s="202"/>
      <c r="I497" s="203"/>
      <c r="J497" s="274">
        <v>1</v>
      </c>
      <c r="K497" s="332"/>
      <c r="L497" s="37"/>
      <c r="M497" s="39"/>
      <c r="N497" s="37"/>
    </row>
    <row r="498" spans="1:14" ht="18" customHeight="1" x14ac:dyDescent="0.35">
      <c r="A498"/>
      <c r="B498" s="62"/>
      <c r="C498" s="109" t="s">
        <v>440</v>
      </c>
      <c r="D498" s="39"/>
      <c r="E498" s="218"/>
      <c r="F498" s="202">
        <v>1</v>
      </c>
      <c r="G498" s="202"/>
      <c r="H498" s="202"/>
      <c r="I498" s="203"/>
      <c r="J498" s="275">
        <v>1</v>
      </c>
      <c r="K498" s="332"/>
      <c r="L498" s="37"/>
      <c r="M498" s="39"/>
      <c r="N498" s="37"/>
    </row>
    <row r="499" spans="1:14" ht="18" customHeight="1" x14ac:dyDescent="0.35">
      <c r="A499"/>
      <c r="B499" s="62"/>
      <c r="C499" s="110" t="s">
        <v>441</v>
      </c>
      <c r="D499" s="39"/>
      <c r="E499" s="218"/>
      <c r="F499" s="202">
        <v>1</v>
      </c>
      <c r="G499" s="202"/>
      <c r="H499" s="202"/>
      <c r="I499" s="203"/>
      <c r="J499" s="272">
        <v>1</v>
      </c>
      <c r="K499" s="332"/>
      <c r="L499" s="37"/>
      <c r="M499" s="39"/>
      <c r="N499" s="37"/>
    </row>
    <row r="500" spans="1:14" ht="18" customHeight="1" x14ac:dyDescent="0.35">
      <c r="A500"/>
      <c r="B500" s="62"/>
      <c r="C500" s="110" t="s">
        <v>442</v>
      </c>
      <c r="D500" s="39"/>
      <c r="E500" s="218"/>
      <c r="F500" s="202">
        <v>1</v>
      </c>
      <c r="G500" s="202"/>
      <c r="H500" s="202"/>
      <c r="I500" s="203"/>
      <c r="J500" s="272">
        <v>1</v>
      </c>
      <c r="K500" s="332"/>
      <c r="L500" s="37"/>
      <c r="M500" s="39"/>
      <c r="N500" s="37"/>
    </row>
    <row r="501" spans="1:14" ht="18" customHeight="1" x14ac:dyDescent="0.35">
      <c r="A501"/>
      <c r="B501" s="62"/>
      <c r="C501" s="110" t="s">
        <v>443</v>
      </c>
      <c r="D501" s="39"/>
      <c r="E501" s="218"/>
      <c r="F501" s="202">
        <v>1</v>
      </c>
      <c r="G501" s="202"/>
      <c r="H501" s="202"/>
      <c r="I501" s="203"/>
      <c r="J501" s="279">
        <v>1</v>
      </c>
      <c r="K501" s="332"/>
      <c r="L501" s="37"/>
      <c r="M501" s="39"/>
      <c r="N501" s="37"/>
    </row>
    <row r="502" spans="1:14" ht="18" customHeight="1" thickBot="1" x14ac:dyDescent="0.4">
      <c r="A502"/>
      <c r="B502" s="62"/>
      <c r="C502" s="65"/>
      <c r="D502" s="39"/>
      <c r="E502" s="219"/>
      <c r="F502" s="220"/>
      <c r="G502" s="220"/>
      <c r="H502" s="220"/>
      <c r="I502" s="221"/>
      <c r="J502" s="258"/>
      <c r="K502" s="361"/>
      <c r="L502" s="37"/>
      <c r="M502" s="39"/>
      <c r="N502" s="37"/>
    </row>
    <row r="503" spans="1:14" ht="20.149999999999999" customHeight="1" x14ac:dyDescent="0.35">
      <c r="A503"/>
      <c r="B503" s="17"/>
      <c r="C503" s="28"/>
      <c r="D503" s="39"/>
      <c r="E503" s="195">
        <f t="shared" ref="E503:J503" si="7">SUM(E462:E502)</f>
        <v>36</v>
      </c>
      <c r="F503" s="195">
        <f t="shared" si="7"/>
        <v>4</v>
      </c>
      <c r="G503" s="195">
        <f t="shared" si="7"/>
        <v>0</v>
      </c>
      <c r="H503" s="195">
        <f t="shared" si="7"/>
        <v>0</v>
      </c>
      <c r="I503" s="195">
        <f t="shared" si="7"/>
        <v>0</v>
      </c>
      <c r="J503" s="195">
        <f t="shared" si="7"/>
        <v>39</v>
      </c>
      <c r="K503" s="335"/>
      <c r="L503" s="37"/>
      <c r="M503" s="39"/>
      <c r="N503" s="37"/>
    </row>
    <row r="504" spans="1:14" ht="20.149999999999999" customHeight="1" x14ac:dyDescent="0.35">
      <c r="A504"/>
      <c r="B504" s="17"/>
      <c r="C504" s="28"/>
      <c r="D504" s="25"/>
      <c r="E504" s="211"/>
      <c r="F504" s="211"/>
      <c r="G504" s="211"/>
      <c r="H504" s="211"/>
      <c r="I504" s="211"/>
      <c r="J504" s="211"/>
      <c r="K504" s="330"/>
      <c r="L504" s="37"/>
      <c r="M504" s="39"/>
      <c r="N504" s="37"/>
    </row>
    <row r="505" spans="1:14" s="135" customFormat="1" ht="22" customHeight="1" x14ac:dyDescent="0.35">
      <c r="B505" s="117">
        <v>1.8</v>
      </c>
      <c r="C505" s="100" t="s">
        <v>444</v>
      </c>
      <c r="D505" s="137"/>
      <c r="E505" s="217"/>
      <c r="F505" s="217"/>
      <c r="G505" s="217"/>
      <c r="H505" s="217"/>
      <c r="I505" s="217"/>
      <c r="J505" s="217"/>
      <c r="K505" s="356"/>
      <c r="L505" s="138"/>
      <c r="M505" s="139"/>
      <c r="N505" s="138"/>
    </row>
    <row r="506" spans="1:14" ht="22" customHeight="1" thickBot="1" x14ac:dyDescent="0.4">
      <c r="A506"/>
      <c r="B506" s="62"/>
      <c r="C506" s="63"/>
      <c r="D506" s="24"/>
      <c r="E506" s="211"/>
      <c r="F506" s="211"/>
      <c r="G506" s="211"/>
      <c r="H506" s="211"/>
      <c r="I506" s="211"/>
      <c r="J506" s="211"/>
      <c r="K506" s="330"/>
      <c r="L506" s="37"/>
      <c r="M506" s="39"/>
      <c r="N506" s="37"/>
    </row>
    <row r="507" spans="1:14" ht="22" customHeight="1" x14ac:dyDescent="0.35">
      <c r="A507"/>
      <c r="B507" s="62"/>
      <c r="C507" s="69" t="s">
        <v>38</v>
      </c>
      <c r="D507" s="24"/>
      <c r="E507" s="198" t="s">
        <v>20</v>
      </c>
      <c r="F507" s="198" t="s">
        <v>24</v>
      </c>
      <c r="G507" s="198" t="s">
        <v>27</v>
      </c>
      <c r="H507" s="198" t="s">
        <v>29</v>
      </c>
      <c r="I507" s="199" t="s">
        <v>32</v>
      </c>
      <c r="J507" s="200" t="s">
        <v>35</v>
      </c>
      <c r="K507" s="331" t="s">
        <v>39</v>
      </c>
      <c r="L507" s="37"/>
      <c r="M507" s="39"/>
      <c r="N507" s="37"/>
    </row>
    <row r="508" spans="1:14" ht="22" customHeight="1" x14ac:dyDescent="0.35">
      <c r="A508"/>
      <c r="B508" s="62"/>
      <c r="C508" s="109" t="s">
        <v>445</v>
      </c>
      <c r="D508" s="39"/>
      <c r="E508" s="218">
        <v>1</v>
      </c>
      <c r="F508" s="202"/>
      <c r="G508" s="202"/>
      <c r="H508" s="202"/>
      <c r="I508" s="239"/>
      <c r="J508" s="266">
        <v>1</v>
      </c>
      <c r="K508" s="362"/>
      <c r="L508" s="37"/>
      <c r="M508" s="39"/>
      <c r="N508" s="37"/>
    </row>
    <row r="509" spans="1:14" ht="22" customHeight="1" x14ac:dyDescent="0.35">
      <c r="A509"/>
      <c r="B509" s="62"/>
      <c r="C509" s="110" t="s">
        <v>406</v>
      </c>
      <c r="D509" s="39"/>
      <c r="E509" s="218">
        <v>1</v>
      </c>
      <c r="F509" s="202"/>
      <c r="G509" s="202"/>
      <c r="H509" s="202"/>
      <c r="I509" s="239"/>
      <c r="J509" s="266">
        <v>1</v>
      </c>
      <c r="K509" s="357"/>
      <c r="L509" s="37"/>
      <c r="M509" s="39"/>
      <c r="N509" s="37"/>
    </row>
    <row r="510" spans="1:14" ht="22" customHeight="1" x14ac:dyDescent="0.35">
      <c r="A510"/>
      <c r="B510" s="62"/>
      <c r="C510" s="110" t="s">
        <v>403</v>
      </c>
      <c r="D510" s="39"/>
      <c r="E510" s="218">
        <v>1</v>
      </c>
      <c r="F510" s="202"/>
      <c r="G510" s="202"/>
      <c r="H510" s="202"/>
      <c r="I510" s="239"/>
      <c r="J510" s="266">
        <v>1</v>
      </c>
      <c r="K510" s="357"/>
      <c r="L510" s="37"/>
      <c r="M510" s="39"/>
      <c r="N510" s="37"/>
    </row>
    <row r="511" spans="1:14" ht="18" customHeight="1" x14ac:dyDescent="0.35">
      <c r="A511"/>
      <c r="B511" s="62"/>
      <c r="C511" s="110" t="s">
        <v>446</v>
      </c>
      <c r="D511" s="39"/>
      <c r="E511" s="218">
        <v>1</v>
      </c>
      <c r="F511" s="202"/>
      <c r="G511" s="202"/>
      <c r="H511" s="202"/>
      <c r="I511" s="239"/>
      <c r="J511" s="266">
        <v>1</v>
      </c>
      <c r="K511" s="357"/>
      <c r="L511" s="37"/>
      <c r="M511" s="39"/>
      <c r="N511" s="37"/>
    </row>
    <row r="512" spans="1:14" ht="18" customHeight="1" x14ac:dyDescent="0.35">
      <c r="A512"/>
      <c r="B512" s="62"/>
      <c r="C512" s="109" t="s">
        <v>407</v>
      </c>
      <c r="D512" s="39"/>
      <c r="E512" s="218">
        <v>1</v>
      </c>
      <c r="F512" s="202"/>
      <c r="G512" s="202"/>
      <c r="H512" s="202"/>
      <c r="I512" s="239"/>
      <c r="J512" s="266">
        <v>1</v>
      </c>
      <c r="K512" s="357"/>
      <c r="L512" s="37"/>
      <c r="M512" s="39"/>
      <c r="N512" s="37"/>
    </row>
    <row r="513" spans="1:14" ht="18" customHeight="1" x14ac:dyDescent="0.35">
      <c r="A513"/>
      <c r="B513" s="62"/>
      <c r="C513" s="109" t="s">
        <v>408</v>
      </c>
      <c r="D513" s="39"/>
      <c r="E513" s="218">
        <v>1</v>
      </c>
      <c r="F513" s="202"/>
      <c r="G513" s="202"/>
      <c r="H513" s="202"/>
      <c r="I513" s="239"/>
      <c r="J513" s="266">
        <v>1</v>
      </c>
      <c r="K513" s="357"/>
      <c r="L513" s="37"/>
      <c r="M513" s="39"/>
      <c r="N513" s="37"/>
    </row>
    <row r="514" spans="1:14" ht="18" customHeight="1" x14ac:dyDescent="0.35">
      <c r="A514"/>
      <c r="B514" s="62"/>
      <c r="C514" s="109" t="s">
        <v>409</v>
      </c>
      <c r="D514" s="39"/>
      <c r="E514" s="218">
        <v>1</v>
      </c>
      <c r="F514" s="202"/>
      <c r="G514" s="202"/>
      <c r="H514" s="202"/>
      <c r="I514" s="239"/>
      <c r="J514" s="266">
        <v>1</v>
      </c>
      <c r="K514" s="357"/>
      <c r="L514" s="37"/>
      <c r="M514" s="39"/>
      <c r="N514" s="37"/>
    </row>
    <row r="515" spans="1:14" ht="18" customHeight="1" x14ac:dyDescent="0.35">
      <c r="A515"/>
      <c r="B515" s="62"/>
      <c r="C515" s="109" t="s">
        <v>402</v>
      </c>
      <c r="D515" s="39"/>
      <c r="E515" s="218">
        <v>1</v>
      </c>
      <c r="F515" s="202"/>
      <c r="G515" s="202"/>
      <c r="H515" s="202"/>
      <c r="I515" s="239"/>
      <c r="J515" s="266">
        <v>1</v>
      </c>
      <c r="K515" s="357"/>
      <c r="L515" s="37"/>
      <c r="M515" s="39"/>
      <c r="N515" s="37"/>
    </row>
    <row r="516" spans="1:14" ht="18" customHeight="1" x14ac:dyDescent="0.35">
      <c r="A516"/>
      <c r="B516" s="62"/>
      <c r="C516" s="109" t="s">
        <v>447</v>
      </c>
      <c r="D516" s="39"/>
      <c r="E516" s="218">
        <v>1</v>
      </c>
      <c r="F516" s="202"/>
      <c r="G516" s="202"/>
      <c r="H516" s="202"/>
      <c r="I516" s="239"/>
      <c r="J516" s="266">
        <v>1</v>
      </c>
      <c r="K516" s="357"/>
      <c r="L516" s="37"/>
      <c r="M516" s="39"/>
      <c r="N516" s="37"/>
    </row>
    <row r="517" spans="1:14" ht="18" customHeight="1" x14ac:dyDescent="0.35">
      <c r="A517"/>
      <c r="B517" s="62"/>
      <c r="C517" s="109" t="s">
        <v>448</v>
      </c>
      <c r="D517" s="39"/>
      <c r="E517" s="218">
        <v>1</v>
      </c>
      <c r="F517" s="202"/>
      <c r="G517" s="202"/>
      <c r="H517" s="202"/>
      <c r="I517" s="239"/>
      <c r="J517" s="266">
        <v>1</v>
      </c>
      <c r="K517" s="357"/>
      <c r="L517" s="37"/>
      <c r="M517" s="39"/>
      <c r="N517" s="37"/>
    </row>
    <row r="518" spans="1:14" ht="18" customHeight="1" x14ac:dyDescent="0.35">
      <c r="A518"/>
      <c r="B518" s="62"/>
      <c r="C518" s="110" t="s">
        <v>412</v>
      </c>
      <c r="D518" s="39"/>
      <c r="E518" s="218">
        <v>1</v>
      </c>
      <c r="F518" s="202"/>
      <c r="G518" s="202"/>
      <c r="H518" s="202"/>
      <c r="I518" s="239"/>
      <c r="J518" s="266">
        <v>1</v>
      </c>
      <c r="K518" s="357"/>
      <c r="L518" s="37"/>
      <c r="M518" s="39"/>
      <c r="N518" s="37"/>
    </row>
    <row r="519" spans="1:14" ht="18" customHeight="1" x14ac:dyDescent="0.35">
      <c r="A519"/>
      <c r="B519" s="62"/>
      <c r="C519" s="110" t="s">
        <v>413</v>
      </c>
      <c r="D519" s="39"/>
      <c r="E519" s="218">
        <v>1</v>
      </c>
      <c r="F519" s="202"/>
      <c r="G519" s="202"/>
      <c r="H519" s="202"/>
      <c r="I519" s="239"/>
      <c r="J519" s="266">
        <v>1</v>
      </c>
      <c r="K519" s="357"/>
      <c r="L519" s="37"/>
      <c r="M519" s="39"/>
      <c r="N519" s="37"/>
    </row>
    <row r="520" spans="1:14" ht="18" customHeight="1" x14ac:dyDescent="0.35">
      <c r="A520"/>
      <c r="B520" s="62"/>
      <c r="C520" s="110" t="s">
        <v>414</v>
      </c>
      <c r="D520" s="39"/>
      <c r="E520" s="218">
        <v>1</v>
      </c>
      <c r="F520" s="202"/>
      <c r="G520" s="202"/>
      <c r="H520" s="202"/>
      <c r="I520" s="239"/>
      <c r="J520" s="266">
        <v>1</v>
      </c>
      <c r="K520" s="357"/>
      <c r="L520" s="37"/>
      <c r="M520" s="39"/>
      <c r="N520" s="37"/>
    </row>
    <row r="521" spans="1:14" ht="18" customHeight="1" x14ac:dyDescent="0.35">
      <c r="A521"/>
      <c r="B521" s="62"/>
      <c r="C521" s="110" t="s">
        <v>415</v>
      </c>
      <c r="D521" s="39"/>
      <c r="E521" s="218">
        <v>1</v>
      </c>
      <c r="F521" s="202"/>
      <c r="G521" s="202"/>
      <c r="H521" s="202"/>
      <c r="I521" s="239"/>
      <c r="J521" s="266">
        <v>1</v>
      </c>
      <c r="K521" s="357"/>
      <c r="L521" s="37"/>
      <c r="M521" s="39"/>
      <c r="N521" s="37"/>
    </row>
    <row r="522" spans="1:14" ht="18" customHeight="1" x14ac:dyDescent="0.35">
      <c r="A522"/>
      <c r="B522" s="62"/>
      <c r="C522" s="110" t="s">
        <v>416</v>
      </c>
      <c r="D522" s="39"/>
      <c r="E522" s="218">
        <v>1</v>
      </c>
      <c r="F522" s="202"/>
      <c r="G522" s="202"/>
      <c r="H522" s="202"/>
      <c r="I522" s="239"/>
      <c r="J522" s="266">
        <v>1</v>
      </c>
      <c r="K522" s="357"/>
      <c r="L522" s="37"/>
      <c r="M522" s="39"/>
      <c r="N522" s="37"/>
    </row>
    <row r="523" spans="1:14" ht="18" customHeight="1" x14ac:dyDescent="0.35">
      <c r="A523"/>
      <c r="B523" s="62"/>
      <c r="C523" s="110" t="s">
        <v>449</v>
      </c>
      <c r="D523" s="39"/>
      <c r="E523" s="218">
        <v>1</v>
      </c>
      <c r="F523" s="202"/>
      <c r="G523" s="202"/>
      <c r="H523" s="202"/>
      <c r="I523" s="239"/>
      <c r="J523" s="266">
        <v>1</v>
      </c>
      <c r="K523" s="357"/>
      <c r="L523" s="37"/>
      <c r="M523" s="39"/>
      <c r="N523" s="37"/>
    </row>
    <row r="524" spans="1:14" ht="18" customHeight="1" x14ac:dyDescent="0.35">
      <c r="A524"/>
      <c r="B524" s="62"/>
      <c r="C524" s="110" t="s">
        <v>317</v>
      </c>
      <c r="D524" s="39"/>
      <c r="E524" s="218">
        <v>1</v>
      </c>
      <c r="F524" s="202"/>
      <c r="G524" s="202"/>
      <c r="H524" s="202"/>
      <c r="I524" s="239"/>
      <c r="J524" s="266">
        <v>1</v>
      </c>
      <c r="K524" s="357"/>
      <c r="L524" s="37"/>
      <c r="M524" s="39"/>
      <c r="N524" s="37"/>
    </row>
    <row r="525" spans="1:14" ht="18" customHeight="1" x14ac:dyDescent="0.35">
      <c r="A525"/>
      <c r="B525" s="62"/>
      <c r="C525" s="109" t="s">
        <v>419</v>
      </c>
      <c r="D525" s="39"/>
      <c r="E525" s="218">
        <v>1</v>
      </c>
      <c r="F525" s="202"/>
      <c r="G525" s="202"/>
      <c r="H525" s="202"/>
      <c r="I525" s="239"/>
      <c r="J525" s="266">
        <v>1</v>
      </c>
      <c r="K525" s="357"/>
      <c r="L525" s="37"/>
      <c r="M525" s="39"/>
      <c r="N525" s="37"/>
    </row>
    <row r="526" spans="1:14" ht="18" customHeight="1" x14ac:dyDescent="0.35">
      <c r="A526"/>
      <c r="B526" s="62"/>
      <c r="C526" s="109" t="s">
        <v>420</v>
      </c>
      <c r="D526" s="39"/>
      <c r="E526" s="218">
        <v>1</v>
      </c>
      <c r="F526" s="202"/>
      <c r="G526" s="202"/>
      <c r="H526" s="202"/>
      <c r="I526" s="239"/>
      <c r="J526" s="266">
        <v>1</v>
      </c>
      <c r="K526" s="357"/>
      <c r="L526" s="37"/>
      <c r="M526" s="39"/>
      <c r="N526" s="37"/>
    </row>
    <row r="527" spans="1:14" ht="18" customHeight="1" x14ac:dyDescent="0.35">
      <c r="A527"/>
      <c r="B527" s="62"/>
      <c r="C527" s="109" t="s">
        <v>421</v>
      </c>
      <c r="D527" s="39"/>
      <c r="E527" s="218">
        <v>1</v>
      </c>
      <c r="F527" s="202"/>
      <c r="G527" s="202"/>
      <c r="H527" s="202"/>
      <c r="I527" s="239"/>
      <c r="J527" s="266">
        <v>1</v>
      </c>
      <c r="K527" s="357"/>
      <c r="L527" s="37"/>
      <c r="M527" s="39"/>
      <c r="N527" s="37"/>
    </row>
    <row r="528" spans="1:14" ht="18" customHeight="1" x14ac:dyDescent="0.35">
      <c r="A528"/>
      <c r="B528" s="62"/>
      <c r="C528" s="109" t="s">
        <v>422</v>
      </c>
      <c r="D528" s="39"/>
      <c r="E528" s="218">
        <v>1</v>
      </c>
      <c r="F528" s="202"/>
      <c r="G528" s="202"/>
      <c r="H528" s="202"/>
      <c r="I528" s="239"/>
      <c r="J528" s="266">
        <v>1</v>
      </c>
      <c r="K528" s="357"/>
      <c r="L528" s="37"/>
      <c r="M528" s="39"/>
      <c r="N528" s="37"/>
    </row>
    <row r="529" spans="1:14" ht="18" customHeight="1" x14ac:dyDescent="0.35">
      <c r="A529"/>
      <c r="B529" s="62"/>
      <c r="C529" s="109"/>
      <c r="D529" s="39"/>
      <c r="E529" s="218"/>
      <c r="F529" s="202"/>
      <c r="G529" s="202"/>
      <c r="H529" s="202"/>
      <c r="I529" s="239"/>
      <c r="J529" s="266"/>
      <c r="K529" s="357"/>
      <c r="L529" s="37"/>
      <c r="M529" s="39"/>
      <c r="N529" s="37"/>
    </row>
    <row r="530" spans="1:14" ht="18" customHeight="1" x14ac:dyDescent="0.35">
      <c r="A530"/>
      <c r="B530" s="62"/>
      <c r="C530" s="162" t="s">
        <v>450</v>
      </c>
      <c r="D530" s="39"/>
      <c r="E530" s="218"/>
      <c r="F530" s="202"/>
      <c r="G530" s="202"/>
      <c r="H530" s="202"/>
      <c r="I530" s="239"/>
      <c r="J530" s="266"/>
      <c r="K530" s="357"/>
      <c r="L530" s="37"/>
      <c r="M530" s="39"/>
      <c r="N530" s="37"/>
    </row>
    <row r="531" spans="1:14" ht="18" customHeight="1" x14ac:dyDescent="0.35">
      <c r="A531"/>
      <c r="B531" s="62"/>
      <c r="C531" s="109" t="s">
        <v>451</v>
      </c>
      <c r="D531" s="39"/>
      <c r="E531" s="218">
        <v>1</v>
      </c>
      <c r="F531" s="202"/>
      <c r="G531" s="202"/>
      <c r="H531" s="202"/>
      <c r="I531" s="239"/>
      <c r="J531" s="266"/>
      <c r="K531" s="362" t="s">
        <v>452</v>
      </c>
      <c r="L531" s="37"/>
      <c r="M531" s="39"/>
      <c r="N531" s="37"/>
    </row>
    <row r="532" spans="1:14" ht="18" customHeight="1" x14ac:dyDescent="0.35">
      <c r="A532"/>
      <c r="B532" s="62"/>
      <c r="C532" s="109" t="s">
        <v>425</v>
      </c>
      <c r="D532" s="39"/>
      <c r="E532" s="218">
        <v>1</v>
      </c>
      <c r="F532" s="202"/>
      <c r="G532" s="202"/>
      <c r="H532" s="202"/>
      <c r="I532" s="239"/>
      <c r="J532" s="266">
        <v>1</v>
      </c>
      <c r="K532" s="357"/>
      <c r="L532" s="37"/>
      <c r="M532" s="39"/>
      <c r="N532" s="37"/>
    </row>
    <row r="533" spans="1:14" ht="18" customHeight="1" x14ac:dyDescent="0.35">
      <c r="A533"/>
      <c r="B533" s="62"/>
      <c r="C533" s="109" t="s">
        <v>426</v>
      </c>
      <c r="D533" s="39"/>
      <c r="E533" s="218">
        <v>1</v>
      </c>
      <c r="F533" s="202"/>
      <c r="G533" s="202"/>
      <c r="H533" s="202"/>
      <c r="I533" s="239"/>
      <c r="J533" s="266">
        <v>1</v>
      </c>
      <c r="K533" s="357"/>
      <c r="L533" s="37"/>
      <c r="M533" s="39"/>
      <c r="N533" s="37"/>
    </row>
    <row r="534" spans="1:14" ht="18" customHeight="1" x14ac:dyDescent="0.35">
      <c r="A534"/>
      <c r="B534" s="62"/>
      <c r="C534" s="109" t="s">
        <v>427</v>
      </c>
      <c r="D534" s="39"/>
      <c r="E534" s="218">
        <v>1</v>
      </c>
      <c r="F534" s="202"/>
      <c r="G534" s="202"/>
      <c r="H534" s="202"/>
      <c r="I534" s="239"/>
      <c r="J534" s="266">
        <v>1</v>
      </c>
      <c r="K534" s="357"/>
      <c r="L534" s="37"/>
      <c r="M534" s="39"/>
      <c r="N534" s="37"/>
    </row>
    <row r="535" spans="1:14" ht="18" customHeight="1" x14ac:dyDescent="0.35">
      <c r="A535"/>
      <c r="B535" s="62"/>
      <c r="C535" s="109" t="s">
        <v>453</v>
      </c>
      <c r="D535" s="39"/>
      <c r="E535" s="218">
        <v>1</v>
      </c>
      <c r="F535" s="202"/>
      <c r="G535" s="202"/>
      <c r="H535" s="202"/>
      <c r="I535" s="239"/>
      <c r="J535" s="266">
        <v>1</v>
      </c>
      <c r="K535" s="357"/>
      <c r="L535" s="37"/>
      <c r="M535" s="39"/>
      <c r="N535" s="37"/>
    </row>
    <row r="536" spans="1:14" ht="18" customHeight="1" x14ac:dyDescent="0.35">
      <c r="A536"/>
      <c r="B536" s="62"/>
      <c r="C536" s="109" t="s">
        <v>454</v>
      </c>
      <c r="D536" s="39"/>
      <c r="E536" s="218">
        <v>1</v>
      </c>
      <c r="F536" s="202"/>
      <c r="G536" s="202"/>
      <c r="H536" s="202"/>
      <c r="I536" s="239"/>
      <c r="J536" s="266">
        <v>1</v>
      </c>
      <c r="K536" s="357"/>
      <c r="L536" s="37"/>
      <c r="M536" s="39"/>
      <c r="N536" s="37"/>
    </row>
    <row r="537" spans="1:14" ht="18" customHeight="1" x14ac:dyDescent="0.35">
      <c r="A537"/>
      <c r="B537" s="62"/>
      <c r="C537" s="109" t="s">
        <v>430</v>
      </c>
      <c r="D537" s="39"/>
      <c r="E537" s="218">
        <v>1</v>
      </c>
      <c r="F537" s="202"/>
      <c r="G537" s="202"/>
      <c r="H537" s="202"/>
      <c r="I537" s="239"/>
      <c r="J537" s="266">
        <v>1</v>
      </c>
      <c r="K537" s="357"/>
      <c r="L537" s="37"/>
      <c r="M537" s="39"/>
      <c r="N537" s="37"/>
    </row>
    <row r="538" spans="1:14" ht="18" customHeight="1" x14ac:dyDescent="0.35">
      <c r="A538"/>
      <c r="B538" s="62"/>
      <c r="C538" s="109" t="s">
        <v>455</v>
      </c>
      <c r="D538" s="39"/>
      <c r="E538" s="218">
        <v>1</v>
      </c>
      <c r="F538" s="202"/>
      <c r="G538" s="202"/>
      <c r="H538" s="202"/>
      <c r="I538" s="239"/>
      <c r="J538" s="266">
        <v>1</v>
      </c>
      <c r="K538" s="357"/>
      <c r="L538" s="37"/>
      <c r="M538" s="39"/>
      <c r="N538" s="37"/>
    </row>
    <row r="539" spans="1:14" ht="18" customHeight="1" x14ac:dyDescent="0.35">
      <c r="A539"/>
      <c r="B539" s="62"/>
      <c r="C539" s="110" t="s">
        <v>412</v>
      </c>
      <c r="D539" s="39"/>
      <c r="E539" s="218">
        <v>1</v>
      </c>
      <c r="F539" s="202"/>
      <c r="G539" s="202"/>
      <c r="H539" s="202"/>
      <c r="I539" s="239"/>
      <c r="J539" s="266">
        <v>1</v>
      </c>
      <c r="K539" s="357"/>
      <c r="L539" s="37"/>
      <c r="M539" s="39"/>
      <c r="N539" s="37"/>
    </row>
    <row r="540" spans="1:14" ht="18" customHeight="1" x14ac:dyDescent="0.35">
      <c r="A540"/>
      <c r="B540" s="62"/>
      <c r="C540" s="110" t="s">
        <v>432</v>
      </c>
      <c r="D540" s="39"/>
      <c r="E540" s="218">
        <v>1</v>
      </c>
      <c r="F540" s="202"/>
      <c r="G540" s="202"/>
      <c r="H540" s="202"/>
      <c r="I540" s="239"/>
      <c r="J540" s="276">
        <v>1</v>
      </c>
      <c r="K540" s="357"/>
      <c r="L540" s="37"/>
      <c r="M540" s="39"/>
      <c r="N540" s="37"/>
    </row>
    <row r="541" spans="1:14" ht="18" customHeight="1" x14ac:dyDescent="0.35">
      <c r="A541"/>
      <c r="B541" s="62"/>
      <c r="C541" s="110" t="s">
        <v>433</v>
      </c>
      <c r="D541" s="39"/>
      <c r="E541" s="218">
        <v>1</v>
      </c>
      <c r="F541" s="202"/>
      <c r="G541" s="202"/>
      <c r="H541" s="202"/>
      <c r="I541" s="203"/>
      <c r="J541" s="271">
        <v>1</v>
      </c>
      <c r="K541" s="359"/>
      <c r="L541" s="37"/>
      <c r="M541" s="39"/>
      <c r="N541" s="37"/>
    </row>
    <row r="542" spans="1:14" ht="18" customHeight="1" x14ac:dyDescent="0.35">
      <c r="A542"/>
      <c r="B542" s="62"/>
      <c r="C542" s="110" t="s">
        <v>434</v>
      </c>
      <c r="D542" s="39"/>
      <c r="E542" s="218">
        <v>1</v>
      </c>
      <c r="F542" s="202"/>
      <c r="G542" s="202"/>
      <c r="H542" s="202"/>
      <c r="I542" s="203"/>
      <c r="J542" s="272">
        <v>1</v>
      </c>
      <c r="K542" s="359"/>
      <c r="L542" s="37"/>
      <c r="M542" s="39"/>
      <c r="N542" s="37"/>
    </row>
    <row r="543" spans="1:14" ht="18" customHeight="1" x14ac:dyDescent="0.35">
      <c r="A543"/>
      <c r="B543" s="62"/>
      <c r="C543" s="110" t="s">
        <v>416</v>
      </c>
      <c r="D543" s="39"/>
      <c r="E543" s="218">
        <v>1</v>
      </c>
      <c r="F543" s="202"/>
      <c r="G543" s="202"/>
      <c r="H543" s="202"/>
      <c r="I543" s="203"/>
      <c r="J543" s="272">
        <v>1</v>
      </c>
      <c r="K543" s="359"/>
      <c r="L543" s="37"/>
      <c r="M543" s="39"/>
      <c r="N543" s="37"/>
    </row>
    <row r="544" spans="1:14" ht="18" customHeight="1" x14ac:dyDescent="0.35">
      <c r="A544"/>
      <c r="B544" s="62"/>
      <c r="C544" s="110" t="s">
        <v>435</v>
      </c>
      <c r="D544" s="39"/>
      <c r="E544" s="218">
        <v>1</v>
      </c>
      <c r="F544" s="202"/>
      <c r="G544" s="202"/>
      <c r="H544" s="202"/>
      <c r="I544" s="203"/>
      <c r="J544" s="272">
        <v>1</v>
      </c>
      <c r="K544" s="359"/>
      <c r="L544" s="37"/>
      <c r="M544" s="39"/>
      <c r="N544" s="37"/>
    </row>
    <row r="545" spans="1:14" ht="18" customHeight="1" x14ac:dyDescent="0.35">
      <c r="A545"/>
      <c r="B545" s="62"/>
      <c r="C545" s="110" t="s">
        <v>317</v>
      </c>
      <c r="D545" s="39"/>
      <c r="E545" s="218">
        <v>1</v>
      </c>
      <c r="F545" s="202"/>
      <c r="G545" s="202"/>
      <c r="H545" s="202"/>
      <c r="I545" s="203"/>
      <c r="J545" s="272">
        <v>1</v>
      </c>
      <c r="K545" s="359"/>
      <c r="L545" s="37"/>
      <c r="M545" s="39"/>
      <c r="N545" s="37"/>
    </row>
    <row r="546" spans="1:14" ht="18" customHeight="1" x14ac:dyDescent="0.35">
      <c r="A546"/>
      <c r="B546" s="62"/>
      <c r="C546" s="110" t="s">
        <v>436</v>
      </c>
      <c r="D546" s="39"/>
      <c r="E546" s="218">
        <v>1</v>
      </c>
      <c r="F546" s="202"/>
      <c r="G546" s="202"/>
      <c r="H546" s="202"/>
      <c r="I546" s="203"/>
      <c r="J546" s="272">
        <v>1</v>
      </c>
      <c r="K546" s="359"/>
      <c r="L546" s="37"/>
      <c r="M546" s="39"/>
      <c r="N546" s="37"/>
    </row>
    <row r="547" spans="1:14" ht="18" customHeight="1" x14ac:dyDescent="0.35">
      <c r="A547"/>
      <c r="B547" s="62"/>
      <c r="C547" s="109" t="s">
        <v>456</v>
      </c>
      <c r="D547" s="39"/>
      <c r="E547" s="218">
        <v>1</v>
      </c>
      <c r="F547" s="202"/>
      <c r="G547" s="202"/>
      <c r="H547" s="202"/>
      <c r="I547" s="203"/>
      <c r="J547" s="272">
        <v>1</v>
      </c>
      <c r="K547" s="332"/>
      <c r="L547" s="37"/>
      <c r="M547" s="39"/>
      <c r="N547" s="37"/>
    </row>
    <row r="548" spans="1:14" ht="18" customHeight="1" x14ac:dyDescent="0.35">
      <c r="A548"/>
      <c r="B548" s="62"/>
      <c r="C548" s="109" t="s">
        <v>457</v>
      </c>
      <c r="D548" s="39"/>
      <c r="E548" s="218">
        <v>1</v>
      </c>
      <c r="F548" s="202"/>
      <c r="G548" s="202"/>
      <c r="H548" s="202"/>
      <c r="I548" s="203"/>
      <c r="J548" s="272">
        <v>1</v>
      </c>
      <c r="K548" s="332"/>
      <c r="L548" s="37"/>
      <c r="M548" s="39"/>
      <c r="N548" s="37"/>
    </row>
    <row r="549" spans="1:14" ht="18" customHeight="1" x14ac:dyDescent="0.35">
      <c r="A549"/>
      <c r="B549" s="62"/>
      <c r="C549" s="110"/>
      <c r="D549" s="39"/>
      <c r="E549" s="218"/>
      <c r="F549" s="202"/>
      <c r="G549" s="202"/>
      <c r="H549" s="202"/>
      <c r="I549" s="203"/>
      <c r="J549" s="272"/>
      <c r="K549" s="359"/>
      <c r="L549" s="37"/>
      <c r="M549" s="39"/>
      <c r="N549" s="37"/>
    </row>
    <row r="550" spans="1:14" ht="18" customHeight="1" x14ac:dyDescent="0.35">
      <c r="A550"/>
      <c r="B550" s="62"/>
      <c r="C550" s="162" t="s">
        <v>458</v>
      </c>
      <c r="D550" s="39"/>
      <c r="E550" s="218"/>
      <c r="F550" s="202"/>
      <c r="G550" s="202"/>
      <c r="H550" s="202"/>
      <c r="I550" s="203"/>
      <c r="J550" s="272"/>
      <c r="K550" s="359"/>
      <c r="L550" s="37"/>
      <c r="M550" s="39"/>
      <c r="N550" s="37"/>
    </row>
    <row r="551" spans="1:14" ht="18" customHeight="1" x14ac:dyDescent="0.35">
      <c r="A551"/>
      <c r="B551" s="62"/>
      <c r="C551" s="109" t="s">
        <v>401</v>
      </c>
      <c r="D551" s="39"/>
      <c r="E551" s="218">
        <v>1</v>
      </c>
      <c r="F551" s="202"/>
      <c r="G551" s="202"/>
      <c r="H551" s="202"/>
      <c r="I551" s="203"/>
      <c r="J551" s="272">
        <v>1</v>
      </c>
      <c r="K551" s="359"/>
      <c r="L551" s="37"/>
      <c r="M551" s="39"/>
      <c r="N551" s="37"/>
    </row>
    <row r="552" spans="1:14" ht="18" customHeight="1" x14ac:dyDescent="0.35">
      <c r="A552"/>
      <c r="B552" s="62"/>
      <c r="C552" s="109" t="s">
        <v>437</v>
      </c>
      <c r="D552" s="39"/>
      <c r="E552" s="218">
        <v>1</v>
      </c>
      <c r="F552" s="202"/>
      <c r="G552" s="202"/>
      <c r="H552" s="202"/>
      <c r="I552" s="203"/>
      <c r="J552" s="272">
        <v>1</v>
      </c>
      <c r="K552" s="359"/>
      <c r="L552" s="37"/>
      <c r="M552" s="39"/>
      <c r="N552" s="37"/>
    </row>
    <row r="553" spans="1:14" ht="18" customHeight="1" x14ac:dyDescent="0.35">
      <c r="A553"/>
      <c r="B553" s="62"/>
      <c r="C553" s="109" t="s">
        <v>459</v>
      </c>
      <c r="D553" s="39"/>
      <c r="E553" s="222">
        <v>1</v>
      </c>
      <c r="F553" s="213"/>
      <c r="G553" s="213"/>
      <c r="H553" s="213"/>
      <c r="I553" s="214"/>
      <c r="J553" s="272">
        <v>1</v>
      </c>
      <c r="K553" s="363"/>
      <c r="L553" s="37"/>
      <c r="M553" s="39"/>
      <c r="N553" s="37"/>
    </row>
    <row r="554" spans="1:14" ht="18" customHeight="1" x14ac:dyDescent="0.35">
      <c r="A554"/>
      <c r="B554" s="62"/>
      <c r="C554" s="110" t="s">
        <v>460</v>
      </c>
      <c r="D554" s="39"/>
      <c r="E554" s="222">
        <v>1</v>
      </c>
      <c r="F554" s="213"/>
      <c r="G554" s="213"/>
      <c r="H554" s="213"/>
      <c r="I554" s="214"/>
      <c r="J554" s="272">
        <v>1</v>
      </c>
      <c r="K554" s="363"/>
      <c r="L554" s="37"/>
      <c r="M554" s="39"/>
      <c r="N554" s="37"/>
    </row>
    <row r="555" spans="1:14" ht="18" customHeight="1" x14ac:dyDescent="0.35">
      <c r="A555"/>
      <c r="B555" s="62"/>
      <c r="C555" s="110" t="s">
        <v>418</v>
      </c>
      <c r="D555" s="39"/>
      <c r="E555" s="222">
        <v>1</v>
      </c>
      <c r="F555" s="213"/>
      <c r="G555" s="213"/>
      <c r="H555" s="213"/>
      <c r="I555" s="214"/>
      <c r="J555" s="272">
        <v>1</v>
      </c>
      <c r="K555" s="363"/>
      <c r="L555" s="37"/>
      <c r="M555" s="39"/>
      <c r="N555" s="37"/>
    </row>
    <row r="556" spans="1:14" ht="18" customHeight="1" x14ac:dyDescent="0.35">
      <c r="A556"/>
      <c r="B556" s="62"/>
      <c r="C556" s="109" t="s">
        <v>438</v>
      </c>
      <c r="D556" s="39"/>
      <c r="E556" s="222">
        <v>1</v>
      </c>
      <c r="F556" s="213"/>
      <c r="G556" s="213"/>
      <c r="H556" s="213"/>
      <c r="I556" s="214"/>
      <c r="J556" s="272">
        <v>1</v>
      </c>
      <c r="K556" s="363"/>
      <c r="L556" s="37"/>
      <c r="M556" s="39"/>
      <c r="N556" s="37"/>
    </row>
    <row r="557" spans="1:14" ht="18" customHeight="1" x14ac:dyDescent="0.35">
      <c r="A557"/>
      <c r="B557" s="62"/>
      <c r="C557" s="109" t="s">
        <v>461</v>
      </c>
      <c r="D557" s="39"/>
      <c r="E557" s="222">
        <v>1</v>
      </c>
      <c r="F557" s="213"/>
      <c r="G557" s="213"/>
      <c r="H557" s="213"/>
      <c r="I557" s="214"/>
      <c r="J557" s="279">
        <v>1</v>
      </c>
      <c r="K557" s="363"/>
      <c r="L557" s="37"/>
      <c r="M557" s="39"/>
      <c r="N557" s="37"/>
    </row>
    <row r="558" spans="1:14" ht="18" customHeight="1" thickBot="1" x14ac:dyDescent="0.4">
      <c r="A558"/>
      <c r="B558" s="62"/>
      <c r="C558" s="65"/>
      <c r="D558" s="39"/>
      <c r="E558" s="219"/>
      <c r="F558" s="220"/>
      <c r="G558" s="220"/>
      <c r="H558" s="220"/>
      <c r="I558" s="221"/>
      <c r="J558" s="258"/>
      <c r="K558" s="361"/>
      <c r="L558" s="37"/>
      <c r="M558" s="39"/>
      <c r="N558" s="37"/>
    </row>
    <row r="559" spans="1:14" ht="20.149999999999999" customHeight="1" x14ac:dyDescent="0.35">
      <c r="A559"/>
      <c r="B559" s="17"/>
      <c r="C559" s="28"/>
      <c r="D559" s="39"/>
      <c r="E559" s="195">
        <f t="shared" ref="E559:J559" si="8">SUM(E511:E558)</f>
        <v>43</v>
      </c>
      <c r="F559" s="195">
        <f t="shared" si="8"/>
        <v>0</v>
      </c>
      <c r="G559" s="195">
        <f t="shared" si="8"/>
        <v>0</v>
      </c>
      <c r="H559" s="195">
        <f t="shared" si="8"/>
        <v>0</v>
      </c>
      <c r="I559" s="195">
        <f t="shared" si="8"/>
        <v>0</v>
      </c>
      <c r="J559" s="195">
        <f t="shared" si="8"/>
        <v>42</v>
      </c>
      <c r="K559" s="335"/>
      <c r="L559" s="37"/>
      <c r="M559" s="39"/>
      <c r="N559" s="37"/>
    </row>
    <row r="560" spans="1:14" ht="20.149999999999999" customHeight="1" x14ac:dyDescent="0.35">
      <c r="A560"/>
      <c r="B560" s="17"/>
      <c r="C560" s="28"/>
      <c r="D560" s="24"/>
      <c r="E560" s="211"/>
      <c r="F560" s="211"/>
      <c r="G560" s="211"/>
      <c r="H560" s="211"/>
      <c r="I560" s="211"/>
      <c r="J560" s="211"/>
      <c r="K560" s="330"/>
      <c r="L560" s="37"/>
      <c r="M560" s="39"/>
      <c r="N560" s="37"/>
    </row>
    <row r="561" spans="1:14" ht="22" customHeight="1" x14ac:dyDescent="0.35">
      <c r="A561"/>
      <c r="B561" s="117">
        <v>1.9</v>
      </c>
      <c r="C561" s="100" t="s">
        <v>462</v>
      </c>
      <c r="D561" s="21"/>
      <c r="E561" s="196"/>
      <c r="F561" s="196"/>
      <c r="G561" s="196"/>
      <c r="H561" s="196"/>
      <c r="I561" s="196"/>
      <c r="J561" s="196"/>
      <c r="K561" s="320"/>
      <c r="L561" s="37"/>
      <c r="M561" s="39"/>
      <c r="N561" s="37"/>
    </row>
    <row r="562" spans="1:14" ht="22" customHeight="1" thickBot="1" x14ac:dyDescent="0.4">
      <c r="A562"/>
      <c r="B562" s="17"/>
      <c r="C562" s="28"/>
      <c r="D562" s="24"/>
      <c r="E562" s="211"/>
      <c r="F562" s="211"/>
      <c r="G562" s="211"/>
      <c r="H562" s="211"/>
      <c r="I562" s="211"/>
      <c r="J562" s="211"/>
      <c r="K562" s="330"/>
      <c r="L562" s="37"/>
      <c r="M562" s="39"/>
      <c r="N562" s="37"/>
    </row>
    <row r="563" spans="1:14" ht="22" customHeight="1" x14ac:dyDescent="0.35">
      <c r="A563"/>
      <c r="B563" s="17"/>
      <c r="C563" s="79" t="s">
        <v>38</v>
      </c>
      <c r="D563" s="76"/>
      <c r="E563" s="198" t="s">
        <v>20</v>
      </c>
      <c r="F563" s="198" t="s">
        <v>24</v>
      </c>
      <c r="G563" s="198" t="s">
        <v>27</v>
      </c>
      <c r="H563" s="198" t="s">
        <v>29</v>
      </c>
      <c r="I563" s="199" t="s">
        <v>32</v>
      </c>
      <c r="J563" s="200" t="s">
        <v>35</v>
      </c>
      <c r="K563" s="322" t="s">
        <v>39</v>
      </c>
      <c r="L563" s="37"/>
      <c r="M563" s="39"/>
      <c r="N563" s="37"/>
    </row>
    <row r="564" spans="1:14" ht="18" customHeight="1" x14ac:dyDescent="0.35">
      <c r="A564"/>
      <c r="B564" s="17"/>
      <c r="C564" s="182" t="s">
        <v>463</v>
      </c>
      <c r="D564" s="77"/>
      <c r="E564" s="201">
        <v>1</v>
      </c>
      <c r="F564" s="202"/>
      <c r="G564" s="202"/>
      <c r="H564" s="202"/>
      <c r="I564" s="239"/>
      <c r="J564" s="266">
        <v>1</v>
      </c>
      <c r="K564" s="323"/>
      <c r="L564" s="37"/>
      <c r="M564" s="39"/>
      <c r="N564" s="37"/>
    </row>
    <row r="565" spans="1:14" ht="18" customHeight="1" x14ac:dyDescent="0.35">
      <c r="A565"/>
      <c r="B565" s="17"/>
      <c r="C565" s="161" t="s">
        <v>464</v>
      </c>
      <c r="D565" s="77"/>
      <c r="E565" s="201">
        <v>1</v>
      </c>
      <c r="F565" s="202"/>
      <c r="G565" s="202"/>
      <c r="H565" s="202"/>
      <c r="I565" s="239"/>
      <c r="J565" s="266">
        <v>1</v>
      </c>
      <c r="K565" s="323"/>
      <c r="L565" s="37"/>
      <c r="M565" s="39"/>
      <c r="N565" s="37"/>
    </row>
    <row r="566" spans="1:14" ht="18" customHeight="1" x14ac:dyDescent="0.35">
      <c r="A566"/>
      <c r="B566" s="17"/>
      <c r="C566" s="183" t="s">
        <v>465</v>
      </c>
      <c r="D566" s="77"/>
      <c r="E566" s="201">
        <v>1</v>
      </c>
      <c r="F566" s="202"/>
      <c r="G566" s="202"/>
      <c r="H566" s="202"/>
      <c r="I566" s="239"/>
      <c r="J566" s="266">
        <v>1</v>
      </c>
      <c r="K566" s="323"/>
      <c r="L566" s="37"/>
      <c r="M566" s="39"/>
      <c r="N566" s="37"/>
    </row>
    <row r="567" spans="1:14" ht="18" customHeight="1" x14ac:dyDescent="0.35">
      <c r="A567"/>
      <c r="B567" s="17"/>
      <c r="C567" s="183" t="s">
        <v>466</v>
      </c>
      <c r="D567" s="77"/>
      <c r="E567" s="201">
        <v>1</v>
      </c>
      <c r="F567" s="202"/>
      <c r="G567" s="202"/>
      <c r="H567" s="202"/>
      <c r="I567" s="239"/>
      <c r="J567" s="266">
        <v>1</v>
      </c>
      <c r="K567" s="323"/>
      <c r="L567" s="37"/>
      <c r="M567" s="39"/>
      <c r="N567" s="37"/>
    </row>
    <row r="568" spans="1:14" ht="18" customHeight="1" x14ac:dyDescent="0.35">
      <c r="A568"/>
      <c r="B568" s="17"/>
      <c r="C568" s="183" t="s">
        <v>467</v>
      </c>
      <c r="D568" s="77"/>
      <c r="E568" s="201">
        <v>1</v>
      </c>
      <c r="F568" s="202"/>
      <c r="G568" s="202"/>
      <c r="H568" s="202"/>
      <c r="I568" s="239"/>
      <c r="J568" s="266">
        <v>1</v>
      </c>
      <c r="K568" s="323"/>
      <c r="L568" s="37"/>
      <c r="M568" s="39"/>
      <c r="N568" s="37"/>
    </row>
    <row r="569" spans="1:14" ht="18" customHeight="1" x14ac:dyDescent="0.35">
      <c r="A569"/>
      <c r="B569" s="17"/>
      <c r="C569" s="183" t="s">
        <v>468</v>
      </c>
      <c r="D569" s="77"/>
      <c r="E569" s="201">
        <v>1</v>
      </c>
      <c r="F569" s="202"/>
      <c r="G569" s="202"/>
      <c r="H569" s="202"/>
      <c r="I569" s="239"/>
      <c r="J569" s="266">
        <v>1</v>
      </c>
      <c r="K569" s="323"/>
      <c r="L569" s="37"/>
      <c r="M569" s="39"/>
      <c r="N569" s="37"/>
    </row>
    <row r="570" spans="1:14" ht="18" customHeight="1" x14ac:dyDescent="0.35">
      <c r="A570"/>
      <c r="B570" s="17"/>
      <c r="C570" s="183" t="s">
        <v>469</v>
      </c>
      <c r="D570" s="77"/>
      <c r="E570" s="201">
        <v>1</v>
      </c>
      <c r="F570" s="202"/>
      <c r="G570" s="202"/>
      <c r="H570" s="202"/>
      <c r="I570" s="239"/>
      <c r="J570" s="266">
        <v>1</v>
      </c>
      <c r="K570" s="323"/>
      <c r="L570" s="37"/>
      <c r="M570" s="39"/>
      <c r="N570" s="37"/>
    </row>
    <row r="571" spans="1:14" ht="18" customHeight="1" x14ac:dyDescent="0.35">
      <c r="A571"/>
      <c r="B571" s="17"/>
      <c r="C571" s="183" t="s">
        <v>470</v>
      </c>
      <c r="D571" s="77"/>
      <c r="E571" s="212">
        <v>1</v>
      </c>
      <c r="F571" s="213"/>
      <c r="G571" s="213"/>
      <c r="H571" s="213"/>
      <c r="I571" s="251"/>
      <c r="J571" s="266">
        <v>1</v>
      </c>
      <c r="K571" s="352"/>
      <c r="L571" s="37"/>
      <c r="M571" s="39"/>
      <c r="N571" s="37"/>
    </row>
    <row r="572" spans="1:14" ht="18" customHeight="1" x14ac:dyDescent="0.35">
      <c r="A572"/>
      <c r="B572" s="17"/>
      <c r="C572" s="183" t="s">
        <v>471</v>
      </c>
      <c r="D572" s="77"/>
      <c r="E572" s="212">
        <v>1</v>
      </c>
      <c r="F572" s="213"/>
      <c r="G572" s="213"/>
      <c r="H572" s="213"/>
      <c r="I572" s="251"/>
      <c r="J572" s="266">
        <v>1</v>
      </c>
      <c r="K572" s="352"/>
      <c r="L572" s="37"/>
      <c r="M572" s="39"/>
      <c r="N572" s="37"/>
    </row>
    <row r="573" spans="1:14" ht="18" customHeight="1" x14ac:dyDescent="0.35">
      <c r="A573"/>
      <c r="B573" s="17"/>
      <c r="C573" s="183" t="s">
        <v>472</v>
      </c>
      <c r="D573" s="77"/>
      <c r="E573" s="212">
        <v>1</v>
      </c>
      <c r="F573" s="213"/>
      <c r="G573" s="213"/>
      <c r="H573" s="213"/>
      <c r="I573" s="251"/>
      <c r="J573" s="266">
        <v>1</v>
      </c>
      <c r="K573" s="352"/>
      <c r="L573" s="37"/>
      <c r="M573" s="39"/>
      <c r="N573" s="37"/>
    </row>
    <row r="574" spans="1:14" ht="18" customHeight="1" x14ac:dyDescent="0.35">
      <c r="A574"/>
      <c r="B574" s="17"/>
      <c r="C574" s="183" t="s">
        <v>473</v>
      </c>
      <c r="D574" s="77"/>
      <c r="E574" s="212">
        <v>1</v>
      </c>
      <c r="F574" s="213"/>
      <c r="G574" s="213"/>
      <c r="H574" s="213"/>
      <c r="I574" s="251"/>
      <c r="J574" s="266">
        <v>1</v>
      </c>
      <c r="K574" s="352"/>
      <c r="L574" s="37"/>
      <c r="M574" s="39"/>
      <c r="N574" s="37"/>
    </row>
    <row r="575" spans="1:14" ht="18" customHeight="1" x14ac:dyDescent="0.35">
      <c r="A575"/>
      <c r="B575" s="41"/>
      <c r="C575" s="91" t="s">
        <v>474</v>
      </c>
      <c r="D575" s="86"/>
      <c r="E575" s="306">
        <v>1</v>
      </c>
      <c r="F575" s="307"/>
      <c r="G575" s="307"/>
      <c r="H575" s="307"/>
      <c r="I575" s="308"/>
      <c r="J575" s="266">
        <v>1</v>
      </c>
      <c r="K575" s="364"/>
      <c r="M575" s="2"/>
      <c r="N575" s="2"/>
    </row>
    <row r="576" spans="1:14" ht="18" customHeight="1" x14ac:dyDescent="0.35">
      <c r="A576"/>
      <c r="B576" s="41"/>
      <c r="C576" s="90" t="s">
        <v>475</v>
      </c>
      <c r="D576" s="86"/>
      <c r="E576" s="306">
        <v>1</v>
      </c>
      <c r="F576" s="307"/>
      <c r="G576" s="307"/>
      <c r="H576" s="307"/>
      <c r="I576" s="308"/>
      <c r="J576" s="266">
        <v>1</v>
      </c>
      <c r="K576" s="364"/>
      <c r="M576" s="2"/>
      <c r="N576" s="2"/>
    </row>
    <row r="577" spans="1:14" ht="18" customHeight="1" x14ac:dyDescent="0.35">
      <c r="A577"/>
      <c r="B577" s="41"/>
      <c r="C577" s="90" t="s">
        <v>476</v>
      </c>
      <c r="D577" s="86"/>
      <c r="E577" s="306">
        <v>1</v>
      </c>
      <c r="F577" s="307"/>
      <c r="G577" s="307"/>
      <c r="H577" s="307"/>
      <c r="I577" s="308"/>
      <c r="J577" s="266">
        <v>1</v>
      </c>
      <c r="K577" s="364"/>
      <c r="M577" s="2"/>
      <c r="N577" s="2"/>
    </row>
    <row r="578" spans="1:14" ht="18" customHeight="1" x14ac:dyDescent="0.35">
      <c r="A578"/>
      <c r="B578" s="41"/>
      <c r="C578" s="90" t="s">
        <v>477</v>
      </c>
      <c r="D578" s="86"/>
      <c r="E578" s="306">
        <v>1</v>
      </c>
      <c r="F578" s="307"/>
      <c r="G578" s="307"/>
      <c r="H578" s="307"/>
      <c r="I578" s="308"/>
      <c r="J578" s="266">
        <v>1</v>
      </c>
      <c r="K578" s="364"/>
      <c r="M578" s="2"/>
      <c r="N578" s="2"/>
    </row>
    <row r="579" spans="1:14" ht="18" customHeight="1" x14ac:dyDescent="0.35">
      <c r="A579"/>
      <c r="B579" s="41"/>
      <c r="C579" s="90" t="s">
        <v>478</v>
      </c>
      <c r="D579" s="86"/>
      <c r="E579" s="306">
        <v>1</v>
      </c>
      <c r="F579" s="307"/>
      <c r="G579" s="307"/>
      <c r="H579" s="307"/>
      <c r="I579" s="308"/>
      <c r="J579" s="266">
        <v>1</v>
      </c>
      <c r="K579" s="364"/>
      <c r="M579" s="2"/>
      <c r="N579" s="2"/>
    </row>
    <row r="580" spans="1:14" ht="18" customHeight="1" x14ac:dyDescent="0.35">
      <c r="A580"/>
      <c r="B580" s="41"/>
      <c r="C580" s="89" t="s">
        <v>479</v>
      </c>
      <c r="D580" s="86"/>
      <c r="E580" s="306">
        <v>1</v>
      </c>
      <c r="F580" s="307"/>
      <c r="G580" s="307"/>
      <c r="H580" s="307"/>
      <c r="I580" s="308"/>
      <c r="J580" s="266">
        <v>1</v>
      </c>
      <c r="K580" s="364"/>
      <c r="M580" s="2"/>
      <c r="N580" s="2"/>
    </row>
    <row r="581" spans="1:14" ht="18" customHeight="1" x14ac:dyDescent="0.35">
      <c r="A581"/>
      <c r="B581" s="41"/>
      <c r="C581" s="90" t="s">
        <v>480</v>
      </c>
      <c r="D581" s="86"/>
      <c r="E581" s="306">
        <v>1</v>
      </c>
      <c r="F581" s="307"/>
      <c r="G581" s="307"/>
      <c r="H581" s="307"/>
      <c r="I581" s="308"/>
      <c r="J581" s="266">
        <v>1</v>
      </c>
      <c r="K581" s="364"/>
      <c r="M581" s="2"/>
      <c r="N581" s="2"/>
    </row>
    <row r="582" spans="1:14" ht="18" customHeight="1" x14ac:dyDescent="0.35">
      <c r="A582"/>
      <c r="B582" s="41"/>
      <c r="C582" s="90" t="s">
        <v>238</v>
      </c>
      <c r="D582" s="86"/>
      <c r="E582" s="306">
        <v>1</v>
      </c>
      <c r="F582" s="307"/>
      <c r="G582" s="307"/>
      <c r="H582" s="307"/>
      <c r="I582" s="308"/>
      <c r="J582" s="266">
        <v>1</v>
      </c>
      <c r="K582" s="364"/>
      <c r="M582" s="2"/>
      <c r="N582" s="2"/>
    </row>
    <row r="583" spans="1:14" ht="18" customHeight="1" x14ac:dyDescent="0.35">
      <c r="A583"/>
      <c r="B583" s="41"/>
      <c r="C583" s="90" t="s">
        <v>481</v>
      </c>
      <c r="D583" s="86"/>
      <c r="E583" s="306">
        <v>1</v>
      </c>
      <c r="F583" s="307"/>
      <c r="G583" s="307"/>
      <c r="H583" s="307"/>
      <c r="I583" s="308"/>
      <c r="J583" s="266">
        <v>1</v>
      </c>
      <c r="K583" s="364"/>
      <c r="M583" s="2"/>
      <c r="N583" s="2"/>
    </row>
    <row r="584" spans="1:14" ht="18" customHeight="1" x14ac:dyDescent="0.35">
      <c r="A584"/>
      <c r="B584" s="41"/>
      <c r="C584" s="90" t="s">
        <v>482</v>
      </c>
      <c r="D584" s="86"/>
      <c r="E584" s="306">
        <v>1</v>
      </c>
      <c r="F584" s="307"/>
      <c r="G584" s="307"/>
      <c r="H584" s="307"/>
      <c r="I584" s="308"/>
      <c r="J584" s="266">
        <v>1</v>
      </c>
      <c r="K584" s="364"/>
      <c r="M584" s="2"/>
      <c r="N584" s="2"/>
    </row>
    <row r="585" spans="1:14" ht="18" customHeight="1" x14ac:dyDescent="0.35">
      <c r="A585"/>
      <c r="B585" s="41"/>
      <c r="C585" s="161" t="s">
        <v>483</v>
      </c>
      <c r="D585" s="86"/>
      <c r="E585" s="306"/>
      <c r="F585" s="307">
        <v>1</v>
      </c>
      <c r="G585" s="307"/>
      <c r="H585" s="307"/>
      <c r="I585" s="308"/>
      <c r="J585" s="266">
        <v>1</v>
      </c>
      <c r="K585" s="364"/>
      <c r="M585" s="2"/>
      <c r="N585" s="2"/>
    </row>
    <row r="586" spans="1:14" ht="18" customHeight="1" x14ac:dyDescent="0.35">
      <c r="A586"/>
      <c r="B586" s="41"/>
      <c r="C586" s="91" t="s">
        <v>484</v>
      </c>
      <c r="D586" s="86"/>
      <c r="E586" s="306">
        <v>1</v>
      </c>
      <c r="F586" s="307"/>
      <c r="G586" s="307"/>
      <c r="H586" s="307"/>
      <c r="I586" s="308"/>
      <c r="J586" s="266">
        <v>1</v>
      </c>
      <c r="K586" s="364"/>
      <c r="M586" s="2"/>
      <c r="N586" s="2"/>
    </row>
    <row r="587" spans="1:14" ht="28.5" customHeight="1" x14ac:dyDescent="0.35">
      <c r="A587"/>
      <c r="B587" s="41"/>
      <c r="C587" s="91" t="s">
        <v>485</v>
      </c>
      <c r="D587" s="86"/>
      <c r="E587" s="306">
        <v>1</v>
      </c>
      <c r="F587" s="307"/>
      <c r="G587" s="307"/>
      <c r="H587" s="307"/>
      <c r="I587" s="308"/>
      <c r="J587" s="266">
        <v>1</v>
      </c>
      <c r="K587" s="365" t="s">
        <v>486</v>
      </c>
      <c r="M587" s="2"/>
      <c r="N587" s="2"/>
    </row>
    <row r="588" spans="1:14" ht="18" customHeight="1" x14ac:dyDescent="0.35">
      <c r="A588"/>
      <c r="B588" s="41"/>
      <c r="C588" s="91" t="s">
        <v>487</v>
      </c>
      <c r="D588" s="86"/>
      <c r="E588" s="306">
        <v>1</v>
      </c>
      <c r="F588" s="307"/>
      <c r="G588" s="307"/>
      <c r="H588" s="307"/>
      <c r="I588" s="308"/>
      <c r="J588" s="266">
        <v>1</v>
      </c>
      <c r="K588" s="364"/>
      <c r="M588" s="2"/>
      <c r="N588" s="2"/>
    </row>
    <row r="589" spans="1:14" ht="18" customHeight="1" x14ac:dyDescent="0.35">
      <c r="A589"/>
      <c r="B589" s="41"/>
      <c r="C589" s="90" t="s">
        <v>488</v>
      </c>
      <c r="D589" s="86"/>
      <c r="E589" s="306">
        <v>1</v>
      </c>
      <c r="F589" s="307"/>
      <c r="G589" s="307"/>
      <c r="H589" s="307"/>
      <c r="I589" s="308"/>
      <c r="J589" s="266">
        <v>1</v>
      </c>
      <c r="K589" s="364"/>
      <c r="M589" s="2"/>
      <c r="N589" s="2"/>
    </row>
    <row r="590" spans="1:14" ht="18" customHeight="1" x14ac:dyDescent="0.35">
      <c r="A590"/>
      <c r="B590" s="41"/>
      <c r="C590" s="90" t="s">
        <v>489</v>
      </c>
      <c r="D590" s="86"/>
      <c r="E590" s="306">
        <v>1</v>
      </c>
      <c r="F590" s="307"/>
      <c r="G590" s="307"/>
      <c r="H590" s="307"/>
      <c r="I590" s="308"/>
      <c r="J590" s="266">
        <v>1</v>
      </c>
      <c r="K590" s="364"/>
      <c r="M590" s="2"/>
      <c r="N590" s="2"/>
    </row>
    <row r="591" spans="1:14" ht="18" customHeight="1" x14ac:dyDescent="0.35">
      <c r="A591"/>
      <c r="B591" s="41"/>
      <c r="C591" s="90" t="s">
        <v>490</v>
      </c>
      <c r="D591" s="86"/>
      <c r="E591" s="306">
        <v>1</v>
      </c>
      <c r="F591" s="307"/>
      <c r="G591" s="307"/>
      <c r="H591" s="307"/>
      <c r="I591" s="308"/>
      <c r="J591" s="266">
        <v>1</v>
      </c>
      <c r="K591" s="364"/>
      <c r="M591" s="2"/>
      <c r="N591" s="2"/>
    </row>
    <row r="592" spans="1:14" ht="18" customHeight="1" x14ac:dyDescent="0.35">
      <c r="A592"/>
      <c r="B592" s="41"/>
      <c r="C592" s="90" t="s">
        <v>491</v>
      </c>
      <c r="D592" s="86"/>
      <c r="E592" s="306">
        <v>1</v>
      </c>
      <c r="F592" s="307"/>
      <c r="G592" s="307"/>
      <c r="H592" s="307"/>
      <c r="I592" s="308"/>
      <c r="J592" s="266">
        <v>1</v>
      </c>
      <c r="K592" s="364"/>
      <c r="M592" s="2"/>
      <c r="N592" s="2"/>
    </row>
    <row r="593" spans="1:14" ht="18" customHeight="1" x14ac:dyDescent="0.35">
      <c r="A593"/>
      <c r="B593" s="41"/>
      <c r="C593" s="90" t="s">
        <v>492</v>
      </c>
      <c r="D593" s="86"/>
      <c r="E593" s="306">
        <v>1</v>
      </c>
      <c r="F593" s="307"/>
      <c r="G593" s="307"/>
      <c r="H593" s="307"/>
      <c r="I593" s="308"/>
      <c r="J593" s="266">
        <v>1</v>
      </c>
      <c r="K593" s="364"/>
      <c r="M593" s="2"/>
      <c r="N593" s="2"/>
    </row>
    <row r="594" spans="1:14" ht="18" customHeight="1" x14ac:dyDescent="0.35">
      <c r="A594"/>
      <c r="B594" s="41"/>
      <c r="C594" s="91" t="s">
        <v>493</v>
      </c>
      <c r="D594" s="86"/>
      <c r="E594" s="306">
        <v>1</v>
      </c>
      <c r="F594" s="307"/>
      <c r="G594" s="307"/>
      <c r="H594" s="307"/>
      <c r="I594" s="308"/>
      <c r="J594" s="266">
        <v>1</v>
      </c>
      <c r="K594" s="364"/>
      <c r="M594" s="2"/>
      <c r="N594" s="2"/>
    </row>
    <row r="595" spans="1:14" ht="18" customHeight="1" x14ac:dyDescent="0.35">
      <c r="A595"/>
      <c r="B595" s="41"/>
      <c r="C595" s="91" t="s">
        <v>494</v>
      </c>
      <c r="D595" s="86"/>
      <c r="E595" s="306">
        <v>1</v>
      </c>
      <c r="F595" s="307"/>
      <c r="G595" s="307"/>
      <c r="H595" s="307"/>
      <c r="I595" s="308"/>
      <c r="J595" s="276">
        <v>1</v>
      </c>
      <c r="K595" s="364"/>
      <c r="M595" s="2"/>
      <c r="N595" s="2"/>
    </row>
    <row r="596" spans="1:14" ht="18" customHeight="1" x14ac:dyDescent="0.35">
      <c r="A596"/>
      <c r="B596" s="41"/>
      <c r="C596" s="91" t="s">
        <v>495</v>
      </c>
      <c r="D596" s="86"/>
      <c r="E596" s="306">
        <v>1</v>
      </c>
      <c r="F596" s="307"/>
      <c r="G596" s="307"/>
      <c r="H596" s="307"/>
      <c r="I596" s="309"/>
      <c r="J596" s="271">
        <v>1</v>
      </c>
      <c r="K596" s="366"/>
      <c r="M596" s="2"/>
      <c r="N596" s="2"/>
    </row>
    <row r="597" spans="1:14" ht="18" customHeight="1" x14ac:dyDescent="0.35">
      <c r="A597"/>
      <c r="B597" s="41"/>
      <c r="C597" s="90" t="s">
        <v>496</v>
      </c>
      <c r="D597" s="86"/>
      <c r="E597" s="306">
        <v>1</v>
      </c>
      <c r="F597" s="307"/>
      <c r="G597" s="307"/>
      <c r="H597" s="307"/>
      <c r="I597" s="309"/>
      <c r="J597" s="272">
        <v>1</v>
      </c>
      <c r="K597" s="366"/>
      <c r="M597" s="2"/>
      <c r="N597" s="2"/>
    </row>
    <row r="598" spans="1:14" ht="18" customHeight="1" x14ac:dyDescent="0.35">
      <c r="A598"/>
      <c r="B598" s="41"/>
      <c r="C598" s="90" t="s">
        <v>497</v>
      </c>
      <c r="D598" s="86"/>
      <c r="E598" s="306">
        <v>1</v>
      </c>
      <c r="F598" s="307"/>
      <c r="G598" s="307"/>
      <c r="H598" s="307"/>
      <c r="I598" s="309"/>
      <c r="J598" s="272">
        <v>1</v>
      </c>
      <c r="K598" s="366"/>
      <c r="M598" s="2"/>
      <c r="N598" s="2"/>
    </row>
    <row r="599" spans="1:14" ht="18" customHeight="1" x14ac:dyDescent="0.35">
      <c r="A599"/>
      <c r="B599" s="41"/>
      <c r="C599" s="90" t="s">
        <v>498</v>
      </c>
      <c r="D599" s="86"/>
      <c r="E599" s="306">
        <v>1</v>
      </c>
      <c r="F599" s="307"/>
      <c r="G599" s="307"/>
      <c r="H599" s="307"/>
      <c r="I599" s="309"/>
      <c r="J599" s="272">
        <v>1</v>
      </c>
      <c r="K599" s="366"/>
      <c r="M599" s="2"/>
      <c r="N599" s="2"/>
    </row>
    <row r="600" spans="1:14" ht="18" customHeight="1" x14ac:dyDescent="0.35">
      <c r="A600"/>
      <c r="B600" s="41"/>
      <c r="C600" s="90" t="s">
        <v>499</v>
      </c>
      <c r="D600" s="86"/>
      <c r="E600" s="306">
        <v>1</v>
      </c>
      <c r="F600" s="307"/>
      <c r="G600" s="307"/>
      <c r="H600" s="307"/>
      <c r="I600" s="309"/>
      <c r="J600" s="272">
        <v>1</v>
      </c>
      <c r="K600" s="366"/>
      <c r="M600" s="2"/>
      <c r="N600" s="2"/>
    </row>
    <row r="601" spans="1:14" ht="18" customHeight="1" x14ac:dyDescent="0.35">
      <c r="A601"/>
      <c r="B601" s="41"/>
      <c r="C601" s="90" t="s">
        <v>418</v>
      </c>
      <c r="D601" s="86"/>
      <c r="E601" s="306">
        <v>1</v>
      </c>
      <c r="F601" s="307"/>
      <c r="G601" s="307"/>
      <c r="H601" s="307"/>
      <c r="I601" s="309"/>
      <c r="J601" s="272">
        <v>1</v>
      </c>
      <c r="K601" s="366"/>
      <c r="M601" s="2"/>
      <c r="N601" s="2"/>
    </row>
    <row r="602" spans="1:14" ht="18" customHeight="1" x14ac:dyDescent="0.35">
      <c r="A602"/>
      <c r="B602" s="41"/>
      <c r="C602" s="91" t="s">
        <v>500</v>
      </c>
      <c r="D602" s="86"/>
      <c r="E602" s="306">
        <v>1</v>
      </c>
      <c r="F602" s="307"/>
      <c r="G602" s="307"/>
      <c r="H602" s="307"/>
      <c r="I602" s="309"/>
      <c r="J602" s="272">
        <v>1</v>
      </c>
      <c r="K602" s="366"/>
      <c r="M602" s="2"/>
      <c r="N602" s="2"/>
    </row>
    <row r="603" spans="1:14" ht="18" customHeight="1" x14ac:dyDescent="0.35">
      <c r="A603"/>
      <c r="B603" s="41"/>
      <c r="C603" s="91" t="s">
        <v>501</v>
      </c>
      <c r="D603" s="86"/>
      <c r="E603" s="306">
        <v>1</v>
      </c>
      <c r="F603" s="307"/>
      <c r="G603" s="307"/>
      <c r="H603" s="307"/>
      <c r="I603" s="309"/>
      <c r="J603" s="272">
        <v>1</v>
      </c>
      <c r="K603" s="366"/>
      <c r="M603" s="2"/>
      <c r="N603" s="2"/>
    </row>
    <row r="604" spans="1:14" ht="18" customHeight="1" x14ac:dyDescent="0.35">
      <c r="A604"/>
      <c r="B604" s="41"/>
      <c r="C604" s="91" t="s">
        <v>502</v>
      </c>
      <c r="D604" s="86"/>
      <c r="E604" s="306">
        <v>1</v>
      </c>
      <c r="F604" s="307"/>
      <c r="G604" s="307"/>
      <c r="H604" s="307"/>
      <c r="I604" s="309"/>
      <c r="J604" s="272">
        <v>1</v>
      </c>
      <c r="K604" s="366"/>
      <c r="M604" s="2"/>
      <c r="N604" s="2"/>
    </row>
    <row r="605" spans="1:14" ht="18" customHeight="1" x14ac:dyDescent="0.35">
      <c r="A605"/>
      <c r="B605" s="41"/>
      <c r="C605" s="91" t="s">
        <v>503</v>
      </c>
      <c r="D605" s="86"/>
      <c r="E605" s="306">
        <v>1</v>
      </c>
      <c r="F605" s="307"/>
      <c r="G605" s="307"/>
      <c r="H605" s="307"/>
      <c r="I605" s="309"/>
      <c r="J605" s="272">
        <v>1</v>
      </c>
      <c r="K605" s="366"/>
      <c r="M605" s="2"/>
      <c r="N605" s="2"/>
    </row>
    <row r="606" spans="1:14" ht="18" customHeight="1" x14ac:dyDescent="0.35">
      <c r="A606"/>
      <c r="B606" s="41"/>
      <c r="C606" s="91" t="s">
        <v>504</v>
      </c>
      <c r="D606" s="86"/>
      <c r="E606" s="306"/>
      <c r="F606" s="307">
        <v>1</v>
      </c>
      <c r="G606" s="307"/>
      <c r="H606" s="307"/>
      <c r="I606" s="309"/>
      <c r="J606" s="272">
        <v>1</v>
      </c>
      <c r="K606" s="366"/>
      <c r="M606" s="2"/>
      <c r="N606" s="2"/>
    </row>
    <row r="607" spans="1:14" ht="18" customHeight="1" x14ac:dyDescent="0.35">
      <c r="A607"/>
      <c r="B607" s="41"/>
      <c r="C607" s="91" t="s">
        <v>505</v>
      </c>
      <c r="D607" s="86"/>
      <c r="E607" s="306">
        <v>1</v>
      </c>
      <c r="F607" s="307"/>
      <c r="G607" s="307"/>
      <c r="H607" s="307"/>
      <c r="I607" s="309"/>
      <c r="J607" s="272">
        <v>1</v>
      </c>
      <c r="K607" s="366"/>
      <c r="M607" s="2"/>
      <c r="N607" s="2"/>
    </row>
    <row r="608" spans="1:14" ht="18" customHeight="1" x14ac:dyDescent="0.35">
      <c r="A608"/>
      <c r="B608" s="41"/>
      <c r="C608" s="91" t="s">
        <v>506</v>
      </c>
      <c r="D608" s="86"/>
      <c r="E608" s="306">
        <v>1</v>
      </c>
      <c r="F608" s="307"/>
      <c r="G608" s="307"/>
      <c r="H608" s="307"/>
      <c r="I608" s="309"/>
      <c r="J608" s="272">
        <v>1</v>
      </c>
      <c r="K608" s="366"/>
      <c r="M608" s="2"/>
      <c r="N608" s="2"/>
    </row>
    <row r="609" spans="1:14" ht="18" customHeight="1" x14ac:dyDescent="0.35">
      <c r="A609"/>
      <c r="B609" s="41"/>
      <c r="C609" s="91" t="s">
        <v>507</v>
      </c>
      <c r="D609" s="86"/>
      <c r="E609" s="306">
        <v>1</v>
      </c>
      <c r="F609" s="307"/>
      <c r="G609" s="307"/>
      <c r="H609" s="307"/>
      <c r="I609" s="309"/>
      <c r="J609" s="272">
        <v>1</v>
      </c>
      <c r="K609" s="366"/>
      <c r="M609" s="2"/>
      <c r="N609" s="2"/>
    </row>
    <row r="610" spans="1:14" ht="18" customHeight="1" x14ac:dyDescent="0.35">
      <c r="A610"/>
      <c r="B610" s="41"/>
      <c r="C610" s="91" t="s">
        <v>508</v>
      </c>
      <c r="D610" s="86"/>
      <c r="E610" s="306">
        <v>1</v>
      </c>
      <c r="F610" s="307"/>
      <c r="G610" s="307"/>
      <c r="H610" s="307"/>
      <c r="I610" s="309"/>
      <c r="J610" s="272">
        <v>1</v>
      </c>
      <c r="K610" s="366"/>
      <c r="M610" s="2"/>
      <c r="N610" s="2"/>
    </row>
    <row r="611" spans="1:14" ht="18" customHeight="1" x14ac:dyDescent="0.35">
      <c r="A611"/>
      <c r="B611" s="41"/>
      <c r="C611" s="91" t="s">
        <v>509</v>
      </c>
      <c r="D611" s="86"/>
      <c r="E611" s="306">
        <v>1</v>
      </c>
      <c r="F611" s="307"/>
      <c r="G611" s="307"/>
      <c r="H611" s="307"/>
      <c r="I611" s="309"/>
      <c r="J611" s="272">
        <v>1</v>
      </c>
      <c r="K611" s="366"/>
      <c r="M611" s="2"/>
      <c r="N611" s="2"/>
    </row>
    <row r="612" spans="1:14" ht="18" customHeight="1" x14ac:dyDescent="0.35">
      <c r="A612"/>
      <c r="B612" s="41"/>
      <c r="C612" s="91" t="s">
        <v>510</v>
      </c>
      <c r="D612" s="86"/>
      <c r="E612" s="306">
        <v>1</v>
      </c>
      <c r="F612" s="307"/>
      <c r="G612" s="307"/>
      <c r="H612" s="307"/>
      <c r="I612" s="309"/>
      <c r="J612" s="272">
        <v>1</v>
      </c>
      <c r="K612" s="366"/>
      <c r="M612" s="2"/>
      <c r="N612" s="2"/>
    </row>
    <row r="613" spans="1:14" ht="18" customHeight="1" x14ac:dyDescent="0.35">
      <c r="A613"/>
      <c r="B613" s="41"/>
      <c r="C613" s="91" t="s">
        <v>511</v>
      </c>
      <c r="D613" s="86"/>
      <c r="E613" s="306">
        <v>1</v>
      </c>
      <c r="F613" s="307"/>
      <c r="G613" s="307"/>
      <c r="H613" s="307"/>
      <c r="I613" s="309"/>
      <c r="J613" s="272">
        <v>1</v>
      </c>
      <c r="K613" s="366"/>
      <c r="M613" s="2"/>
      <c r="N613" s="2"/>
    </row>
    <row r="614" spans="1:14" ht="18" customHeight="1" x14ac:dyDescent="0.35">
      <c r="A614"/>
      <c r="B614" s="41"/>
      <c r="C614" s="91" t="s">
        <v>512</v>
      </c>
      <c r="D614" s="86"/>
      <c r="E614" s="306">
        <v>1</v>
      </c>
      <c r="F614" s="307"/>
      <c r="G614" s="307"/>
      <c r="H614" s="307"/>
      <c r="I614" s="308"/>
      <c r="J614" s="304">
        <v>1</v>
      </c>
      <c r="K614" s="366"/>
      <c r="M614" s="2"/>
      <c r="N614" s="2"/>
    </row>
    <row r="615" spans="1:14" ht="18" customHeight="1" x14ac:dyDescent="0.35">
      <c r="A615"/>
      <c r="B615" s="41"/>
      <c r="C615" s="91" t="s">
        <v>513</v>
      </c>
      <c r="D615" s="86"/>
      <c r="E615" s="306">
        <v>1</v>
      </c>
      <c r="F615" s="307"/>
      <c r="G615" s="307"/>
      <c r="H615" s="307"/>
      <c r="I615" s="308"/>
      <c r="J615" s="305">
        <v>1</v>
      </c>
      <c r="K615" s="364"/>
      <c r="M615" s="2"/>
      <c r="N615" s="2"/>
    </row>
    <row r="616" spans="1:14" ht="18" customHeight="1" x14ac:dyDescent="0.35">
      <c r="A616"/>
      <c r="B616" s="41"/>
      <c r="C616" s="91" t="s">
        <v>514</v>
      </c>
      <c r="D616" s="86"/>
      <c r="E616" s="306">
        <v>1</v>
      </c>
      <c r="F616" s="307"/>
      <c r="G616" s="307"/>
      <c r="H616" s="307"/>
      <c r="I616" s="308"/>
      <c r="J616" s="266">
        <v>1</v>
      </c>
      <c r="K616" s="364"/>
      <c r="M616" s="2"/>
      <c r="N616" s="2"/>
    </row>
    <row r="617" spans="1:14" ht="18" customHeight="1" x14ac:dyDescent="0.35">
      <c r="A617"/>
      <c r="B617" s="41"/>
      <c r="C617" s="91" t="s">
        <v>515</v>
      </c>
      <c r="D617" s="86"/>
      <c r="E617" s="306">
        <v>1</v>
      </c>
      <c r="F617" s="307"/>
      <c r="G617" s="307"/>
      <c r="H617" s="307"/>
      <c r="I617" s="308"/>
      <c r="J617" s="266">
        <v>1</v>
      </c>
      <c r="K617" s="364"/>
      <c r="M617" s="2"/>
      <c r="N617" s="2"/>
    </row>
    <row r="618" spans="1:14" ht="18" customHeight="1" x14ac:dyDescent="0.35">
      <c r="A618"/>
      <c r="B618" s="41"/>
      <c r="C618" s="91" t="s">
        <v>516</v>
      </c>
      <c r="D618" s="86"/>
      <c r="E618" s="306">
        <v>1</v>
      </c>
      <c r="F618" s="307"/>
      <c r="G618" s="307"/>
      <c r="H618" s="307"/>
      <c r="I618" s="308"/>
      <c r="J618" s="266">
        <v>1</v>
      </c>
      <c r="K618" s="364"/>
      <c r="M618" s="2"/>
      <c r="N618" s="2"/>
    </row>
    <row r="619" spans="1:14" ht="18" customHeight="1" x14ac:dyDescent="0.35">
      <c r="A619"/>
      <c r="B619" s="41"/>
      <c r="C619" s="90" t="s">
        <v>517</v>
      </c>
      <c r="D619" s="86"/>
      <c r="E619" s="306">
        <v>1</v>
      </c>
      <c r="F619" s="307"/>
      <c r="G619" s="307"/>
      <c r="H619" s="307"/>
      <c r="I619" s="308"/>
      <c r="J619" s="266">
        <v>1</v>
      </c>
      <c r="K619" s="364"/>
      <c r="M619" s="2"/>
      <c r="N619" s="2"/>
    </row>
    <row r="620" spans="1:14" ht="18" customHeight="1" x14ac:dyDescent="0.35">
      <c r="A620"/>
      <c r="B620" s="41"/>
      <c r="C620" s="90" t="s">
        <v>518</v>
      </c>
      <c r="D620" s="86"/>
      <c r="E620" s="306">
        <v>1</v>
      </c>
      <c r="F620" s="307"/>
      <c r="G620" s="307"/>
      <c r="H620" s="307"/>
      <c r="I620" s="308"/>
      <c r="J620" s="266">
        <v>1</v>
      </c>
      <c r="K620" s="364"/>
      <c r="M620" s="2"/>
      <c r="N620" s="2"/>
    </row>
    <row r="621" spans="1:14" ht="18" customHeight="1" x14ac:dyDescent="0.35">
      <c r="A621"/>
      <c r="B621" s="41"/>
      <c r="C621" s="90" t="s">
        <v>519</v>
      </c>
      <c r="D621" s="86"/>
      <c r="E621" s="306">
        <v>1</v>
      </c>
      <c r="F621" s="307"/>
      <c r="G621" s="307"/>
      <c r="H621" s="307"/>
      <c r="I621" s="308"/>
      <c r="J621" s="266">
        <v>1</v>
      </c>
      <c r="K621" s="364"/>
      <c r="M621" s="2"/>
      <c r="N621" s="2"/>
    </row>
    <row r="622" spans="1:14" ht="18" customHeight="1" x14ac:dyDescent="0.35">
      <c r="A622"/>
      <c r="B622" s="41"/>
      <c r="C622" s="90" t="s">
        <v>520</v>
      </c>
      <c r="D622" s="86"/>
      <c r="E622" s="306">
        <v>1</v>
      </c>
      <c r="F622" s="307"/>
      <c r="G622" s="307"/>
      <c r="H622" s="307"/>
      <c r="I622" s="308"/>
      <c r="J622" s="266">
        <v>1</v>
      </c>
      <c r="K622" s="364"/>
      <c r="M622" s="2"/>
      <c r="N622" s="2"/>
    </row>
    <row r="623" spans="1:14" ht="18" customHeight="1" thickBot="1" x14ac:dyDescent="0.4">
      <c r="A623"/>
      <c r="B623" s="41"/>
      <c r="C623" s="114"/>
      <c r="D623" s="86"/>
      <c r="E623" s="310"/>
      <c r="F623" s="311"/>
      <c r="G623" s="311"/>
      <c r="H623" s="311"/>
      <c r="I623" s="312"/>
      <c r="J623" s="313"/>
      <c r="K623" s="367"/>
      <c r="M623" s="2"/>
      <c r="N623" s="2"/>
    </row>
    <row r="624" spans="1:14" ht="20.149999999999999" customHeight="1" x14ac:dyDescent="0.35">
      <c r="A624"/>
      <c r="B624" s="41"/>
      <c r="C624" s="132"/>
      <c r="D624" s="133"/>
      <c r="E624" s="195">
        <f t="shared" ref="E624:J624" si="9">SUM(E564:E623)</f>
        <v>57</v>
      </c>
      <c r="F624" s="195">
        <f t="shared" si="9"/>
        <v>2</v>
      </c>
      <c r="G624" s="195">
        <f t="shared" si="9"/>
        <v>0</v>
      </c>
      <c r="H624" s="195">
        <f t="shared" si="9"/>
        <v>0</v>
      </c>
      <c r="I624" s="195">
        <f t="shared" si="9"/>
        <v>0</v>
      </c>
      <c r="J624" s="195">
        <f t="shared" si="9"/>
        <v>59</v>
      </c>
      <c r="K624" s="133"/>
      <c r="M624" s="2"/>
      <c r="N624" s="2"/>
    </row>
    <row r="625" spans="1:14" ht="20.149999999999999" customHeight="1" x14ac:dyDescent="0.35">
      <c r="A625"/>
      <c r="B625" s="41"/>
      <c r="C625" s="27"/>
      <c r="D625" s="25"/>
      <c r="E625" s="211"/>
      <c r="F625" s="211"/>
      <c r="G625" s="211"/>
      <c r="H625" s="211"/>
      <c r="I625" s="211"/>
      <c r="J625" s="211"/>
      <c r="K625" s="25"/>
      <c r="M625" s="2"/>
      <c r="N625" s="2"/>
    </row>
    <row r="626" spans="1:14" ht="20.149999999999999" customHeight="1" x14ac:dyDescent="0.35">
      <c r="A626"/>
      <c r="B626" s="136">
        <v>1.1000000000000001</v>
      </c>
      <c r="C626" s="100" t="s">
        <v>521</v>
      </c>
      <c r="D626" s="21"/>
      <c r="E626" s="196"/>
      <c r="F626" s="196"/>
      <c r="G626" s="196"/>
      <c r="H626" s="196"/>
      <c r="I626" s="196"/>
      <c r="J626" s="196"/>
      <c r="K626" s="320"/>
      <c r="M626" s="2"/>
      <c r="N626" s="2"/>
    </row>
    <row r="627" spans="1:14" ht="20.149999999999999" customHeight="1" thickBot="1" x14ac:dyDescent="0.4">
      <c r="A627"/>
      <c r="B627" s="17"/>
      <c r="C627" s="28"/>
      <c r="D627" s="24"/>
      <c r="E627" s="211"/>
      <c r="F627" s="211"/>
      <c r="G627" s="211"/>
      <c r="H627" s="211"/>
      <c r="I627" s="211"/>
      <c r="J627" s="211"/>
      <c r="K627" s="330"/>
      <c r="M627" s="2"/>
      <c r="N627" s="2"/>
    </row>
    <row r="628" spans="1:14" ht="20.149999999999999" customHeight="1" x14ac:dyDescent="0.35">
      <c r="A628"/>
      <c r="B628" s="17"/>
      <c r="C628" s="79" t="s">
        <v>38</v>
      </c>
      <c r="D628" s="76"/>
      <c r="E628" s="198" t="s">
        <v>20</v>
      </c>
      <c r="F628" s="198" t="s">
        <v>24</v>
      </c>
      <c r="G628" s="198" t="s">
        <v>27</v>
      </c>
      <c r="H628" s="198" t="s">
        <v>29</v>
      </c>
      <c r="I628" s="199" t="s">
        <v>32</v>
      </c>
      <c r="J628" s="200" t="s">
        <v>35</v>
      </c>
      <c r="K628" s="322" t="s">
        <v>39</v>
      </c>
      <c r="M628" s="2"/>
      <c r="N628" s="2"/>
    </row>
    <row r="629" spans="1:14" ht="18" customHeight="1" x14ac:dyDescent="0.35">
      <c r="A629"/>
      <c r="B629" s="17"/>
      <c r="C629" s="115" t="s">
        <v>522</v>
      </c>
      <c r="D629" s="77"/>
      <c r="E629" s="201"/>
      <c r="F629" s="202"/>
      <c r="G629" s="202"/>
      <c r="H629" s="202"/>
      <c r="I629" s="203"/>
      <c r="J629" s="203"/>
      <c r="K629" s="323" t="s">
        <v>523</v>
      </c>
      <c r="M629" s="2"/>
      <c r="N629" s="2"/>
    </row>
    <row r="630" spans="1:14" ht="18" customHeight="1" x14ac:dyDescent="0.35">
      <c r="A630"/>
      <c r="B630" s="17"/>
      <c r="C630" s="112"/>
      <c r="D630" s="77"/>
      <c r="E630" s="212"/>
      <c r="F630" s="213"/>
      <c r="G630" s="213"/>
      <c r="H630" s="213"/>
      <c r="I630" s="214"/>
      <c r="J630" s="214"/>
      <c r="K630" s="352" t="s">
        <v>523</v>
      </c>
      <c r="M630" s="2"/>
      <c r="N630" s="2"/>
    </row>
    <row r="631" spans="1:14" ht="18" customHeight="1" thickBot="1" x14ac:dyDescent="0.4">
      <c r="A631"/>
      <c r="B631" s="41"/>
      <c r="C631" s="87"/>
      <c r="D631" s="86"/>
      <c r="E631" s="310"/>
      <c r="F631" s="311"/>
      <c r="G631" s="311"/>
      <c r="H631" s="311"/>
      <c r="I631" s="312"/>
      <c r="J631" s="313"/>
      <c r="K631" s="367" t="s">
        <v>523</v>
      </c>
      <c r="M631" s="2"/>
      <c r="N631" s="2"/>
    </row>
    <row r="632" spans="1:14" ht="20.149999999999999" customHeight="1" x14ac:dyDescent="0.35">
      <c r="A632"/>
      <c r="B632" s="41"/>
      <c r="C632" s="27"/>
      <c r="D632" s="133"/>
      <c r="E632" s="195">
        <f t="shared" ref="E632:J632" si="10">SUM(E629:E631)</f>
        <v>0</v>
      </c>
      <c r="F632" s="195">
        <f t="shared" si="10"/>
        <v>0</v>
      </c>
      <c r="G632" s="195">
        <f t="shared" si="10"/>
        <v>0</v>
      </c>
      <c r="H632" s="195">
        <f t="shared" si="10"/>
        <v>0</v>
      </c>
      <c r="I632" s="195">
        <f t="shared" si="10"/>
        <v>0</v>
      </c>
      <c r="J632" s="195">
        <f t="shared" si="10"/>
        <v>0</v>
      </c>
      <c r="K632" s="133"/>
      <c r="M632" s="2"/>
      <c r="N632" s="2"/>
    </row>
    <row r="633" spans="1:14" ht="20.149999999999999" customHeight="1" x14ac:dyDescent="0.35">
      <c r="A633"/>
      <c r="B633" s="41"/>
      <c r="C633" s="27"/>
      <c r="D633" s="25"/>
      <c r="E633" s="211"/>
      <c r="F633" s="211"/>
      <c r="G633" s="211"/>
      <c r="H633" s="211"/>
      <c r="I633" s="211"/>
      <c r="J633" s="211"/>
      <c r="K633" s="25"/>
      <c r="M633" s="2"/>
      <c r="N633" s="2"/>
    </row>
    <row r="634" spans="1:14" ht="20.149999999999999" customHeight="1" x14ac:dyDescent="0.35">
      <c r="A634"/>
      <c r="B634" s="117">
        <v>1.1100000000000001</v>
      </c>
      <c r="C634" s="100" t="s">
        <v>524</v>
      </c>
      <c r="D634" s="21"/>
      <c r="E634" s="196"/>
      <c r="F634" s="196"/>
      <c r="G634" s="196"/>
      <c r="H634" s="196"/>
      <c r="I634" s="196"/>
      <c r="J634" s="196"/>
      <c r="K634" s="320"/>
      <c r="M634" s="2"/>
      <c r="N634" s="2"/>
    </row>
    <row r="635" spans="1:14" ht="20.149999999999999" customHeight="1" thickBot="1" x14ac:dyDescent="0.4">
      <c r="A635"/>
      <c r="B635" s="17"/>
      <c r="C635" s="28"/>
      <c r="D635" s="24"/>
      <c r="E635" s="211"/>
      <c r="F635" s="211"/>
      <c r="G635" s="211"/>
      <c r="H635" s="211"/>
      <c r="I635" s="211"/>
      <c r="J635" s="211"/>
      <c r="K635" s="330"/>
      <c r="M635" s="2"/>
      <c r="N635" s="2"/>
    </row>
    <row r="636" spans="1:14" ht="20.149999999999999" customHeight="1" x14ac:dyDescent="0.35">
      <c r="A636"/>
      <c r="B636" s="17"/>
      <c r="C636" s="79" t="s">
        <v>38</v>
      </c>
      <c r="D636" s="76"/>
      <c r="E636" s="198" t="s">
        <v>20</v>
      </c>
      <c r="F636" s="198" t="s">
        <v>24</v>
      </c>
      <c r="G636" s="198" t="s">
        <v>27</v>
      </c>
      <c r="H636" s="198" t="s">
        <v>29</v>
      </c>
      <c r="I636" s="199" t="s">
        <v>32</v>
      </c>
      <c r="J636" s="200" t="s">
        <v>35</v>
      </c>
      <c r="K636" s="322" t="s">
        <v>39</v>
      </c>
      <c r="M636" s="2"/>
      <c r="N636" s="2"/>
    </row>
    <row r="637" spans="1:14" ht="15.5" x14ac:dyDescent="0.35">
      <c r="A637"/>
      <c r="B637" s="17"/>
      <c r="C637" s="116" t="s">
        <v>525</v>
      </c>
      <c r="D637" s="77"/>
      <c r="E637" s="201"/>
      <c r="F637" s="202"/>
      <c r="G637" s="202"/>
      <c r="H637" s="202"/>
      <c r="I637" s="203"/>
      <c r="J637" s="203"/>
      <c r="K637" s="323" t="s">
        <v>523</v>
      </c>
      <c r="M637" s="2"/>
      <c r="N637" s="2"/>
    </row>
    <row r="638" spans="1:14" ht="18" customHeight="1" x14ac:dyDescent="0.35">
      <c r="A638"/>
      <c r="B638" s="17"/>
      <c r="C638" s="113"/>
      <c r="D638" s="77"/>
      <c r="E638" s="201"/>
      <c r="F638" s="202"/>
      <c r="G638" s="202"/>
      <c r="H638" s="202"/>
      <c r="I638" s="203"/>
      <c r="J638" s="203"/>
      <c r="K638" s="323" t="s">
        <v>523</v>
      </c>
      <c r="M638" s="2"/>
      <c r="N638" s="2"/>
    </row>
    <row r="639" spans="1:14" ht="20.149999999999999" customHeight="1" thickBot="1" x14ac:dyDescent="0.4">
      <c r="A639"/>
      <c r="B639" s="41"/>
      <c r="C639" s="87"/>
      <c r="D639" s="86"/>
      <c r="E639" s="310"/>
      <c r="F639" s="311"/>
      <c r="G639" s="311"/>
      <c r="H639" s="311"/>
      <c r="I639" s="312"/>
      <c r="J639" s="313"/>
      <c r="K639" s="367" t="s">
        <v>523</v>
      </c>
      <c r="M639" s="2"/>
      <c r="N639" s="2"/>
    </row>
    <row r="640" spans="1:14" ht="20.149999999999999" customHeight="1" x14ac:dyDescent="0.35">
      <c r="A640"/>
      <c r="B640" s="41"/>
      <c r="C640" s="132"/>
      <c r="D640" s="133"/>
      <c r="E640" s="195">
        <f t="shared" ref="E640:J640" si="11">SUM(E637:E639)</f>
        <v>0</v>
      </c>
      <c r="F640" s="195">
        <f t="shared" si="11"/>
        <v>0</v>
      </c>
      <c r="G640" s="195">
        <f t="shared" si="11"/>
        <v>0</v>
      </c>
      <c r="H640" s="195">
        <f t="shared" si="11"/>
        <v>0</v>
      </c>
      <c r="I640" s="195">
        <f t="shared" si="11"/>
        <v>0</v>
      </c>
      <c r="J640" s="195">
        <f t="shared" si="11"/>
        <v>0</v>
      </c>
      <c r="K640" s="133"/>
      <c r="M640" s="2"/>
      <c r="N640" s="2"/>
    </row>
    <row r="641" spans="1:14" ht="20.149999999999999" customHeight="1" x14ac:dyDescent="0.35">
      <c r="A641"/>
      <c r="B641" s="41"/>
      <c r="C641" s="27"/>
      <c r="D641" s="25"/>
      <c r="E641" s="211"/>
      <c r="F641" s="211"/>
      <c r="G641" s="211"/>
      <c r="H641" s="211"/>
      <c r="I641" s="211"/>
      <c r="J641" s="211"/>
      <c r="K641" s="25"/>
      <c r="M641" s="2"/>
      <c r="N641" s="2"/>
    </row>
    <row r="642" spans="1:14" ht="20.149999999999999" customHeight="1" x14ac:dyDescent="0.35">
      <c r="A642"/>
      <c r="B642" s="117">
        <v>1.1200000000000001</v>
      </c>
      <c r="C642" s="100" t="s">
        <v>526</v>
      </c>
      <c r="D642" s="21"/>
      <c r="E642" s="196"/>
      <c r="F642" s="196"/>
      <c r="G642" s="196"/>
      <c r="H642" s="196"/>
      <c r="I642" s="196"/>
      <c r="J642" s="196"/>
      <c r="K642" s="320"/>
      <c r="M642" s="2"/>
      <c r="N642" s="2"/>
    </row>
    <row r="643" spans="1:14" ht="20.149999999999999" customHeight="1" thickBot="1" x14ac:dyDescent="0.4">
      <c r="A643"/>
      <c r="B643" s="17"/>
      <c r="C643" s="28"/>
      <c r="D643" s="24"/>
      <c r="E643" s="211"/>
      <c r="F643" s="211"/>
      <c r="G643" s="211"/>
      <c r="H643" s="211"/>
      <c r="I643" s="211"/>
      <c r="J643" s="211"/>
      <c r="K643" s="330"/>
      <c r="M643" s="2"/>
      <c r="N643" s="2"/>
    </row>
    <row r="644" spans="1:14" ht="20.149999999999999" customHeight="1" x14ac:dyDescent="0.35">
      <c r="A644"/>
      <c r="B644" s="17"/>
      <c r="C644" s="79" t="s">
        <v>38</v>
      </c>
      <c r="D644" s="76"/>
      <c r="E644" s="198" t="s">
        <v>20</v>
      </c>
      <c r="F644" s="198" t="s">
        <v>24</v>
      </c>
      <c r="G644" s="198" t="s">
        <v>27</v>
      </c>
      <c r="H644" s="198" t="s">
        <v>29</v>
      </c>
      <c r="I644" s="199" t="s">
        <v>32</v>
      </c>
      <c r="J644" s="200" t="s">
        <v>35</v>
      </c>
      <c r="K644" s="322" t="s">
        <v>39</v>
      </c>
      <c r="M644" s="2"/>
      <c r="N644" s="2"/>
    </row>
    <row r="645" spans="1:14" ht="20.149999999999999" customHeight="1" x14ac:dyDescent="0.35">
      <c r="A645"/>
      <c r="B645" s="17"/>
      <c r="C645" s="109" t="s">
        <v>527</v>
      </c>
      <c r="D645" s="83"/>
      <c r="E645" s="201">
        <v>1</v>
      </c>
      <c r="F645" s="202"/>
      <c r="G645" s="202"/>
      <c r="H645" s="202"/>
      <c r="I645" s="239"/>
      <c r="J645" s="266">
        <v>1</v>
      </c>
      <c r="K645" s="323"/>
      <c r="M645" s="2"/>
      <c r="N645" s="2"/>
    </row>
    <row r="646" spans="1:14" ht="20.149999999999999" customHeight="1" x14ac:dyDescent="0.35">
      <c r="A646"/>
      <c r="B646" s="17"/>
      <c r="C646" s="163" t="s">
        <v>471</v>
      </c>
      <c r="D646" s="83"/>
      <c r="E646" s="201">
        <v>1</v>
      </c>
      <c r="F646" s="202"/>
      <c r="G646" s="202"/>
      <c r="H646" s="202"/>
      <c r="I646" s="239"/>
      <c r="J646" s="266">
        <v>1</v>
      </c>
      <c r="K646" s="323"/>
      <c r="M646" s="2"/>
    </row>
    <row r="647" spans="1:14" ht="20.149999999999999" customHeight="1" x14ac:dyDescent="0.35">
      <c r="A647"/>
      <c r="B647" s="17"/>
      <c r="C647" s="163" t="s">
        <v>472</v>
      </c>
      <c r="D647" s="83"/>
      <c r="E647" s="201">
        <v>1</v>
      </c>
      <c r="F647" s="202"/>
      <c r="G647" s="202"/>
      <c r="H647" s="202"/>
      <c r="I647" s="239"/>
      <c r="J647" s="266">
        <v>1</v>
      </c>
      <c r="K647" s="323"/>
      <c r="M647" s="2"/>
    </row>
    <row r="648" spans="1:14" ht="20.149999999999999" customHeight="1" x14ac:dyDescent="0.35">
      <c r="A648"/>
      <c r="B648" s="17"/>
      <c r="C648" s="163" t="s">
        <v>473</v>
      </c>
      <c r="D648" s="83"/>
      <c r="E648" s="201">
        <v>1</v>
      </c>
      <c r="F648" s="202"/>
      <c r="G648" s="202"/>
      <c r="H648" s="202"/>
      <c r="I648" s="239"/>
      <c r="J648" s="266">
        <v>1</v>
      </c>
      <c r="K648" s="323"/>
      <c r="M648" s="2"/>
    </row>
    <row r="649" spans="1:14" ht="18" customHeight="1" x14ac:dyDescent="0.35">
      <c r="A649"/>
      <c r="B649" s="17"/>
      <c r="C649" s="115" t="s">
        <v>464</v>
      </c>
      <c r="D649" s="77"/>
      <c r="E649" s="201">
        <v>1</v>
      </c>
      <c r="F649" s="202"/>
      <c r="G649" s="202"/>
      <c r="H649" s="202"/>
      <c r="I649" s="239"/>
      <c r="J649" s="266">
        <v>1</v>
      </c>
      <c r="K649" s="323"/>
      <c r="M649" s="2"/>
      <c r="N649" s="2"/>
    </row>
    <row r="650" spans="1:14" ht="18" customHeight="1" x14ac:dyDescent="0.35">
      <c r="A650"/>
      <c r="B650" s="17"/>
      <c r="C650" s="163" t="s">
        <v>465</v>
      </c>
      <c r="D650" s="77"/>
      <c r="E650" s="201">
        <v>1</v>
      </c>
      <c r="F650" s="202"/>
      <c r="G650" s="202"/>
      <c r="H650" s="202"/>
      <c r="I650" s="239"/>
      <c r="J650" s="266">
        <v>1</v>
      </c>
      <c r="K650" s="326"/>
      <c r="M650" s="2"/>
      <c r="N650" s="2"/>
    </row>
    <row r="651" spans="1:14" ht="18" customHeight="1" x14ac:dyDescent="0.35">
      <c r="A651"/>
      <c r="B651" s="17"/>
      <c r="C651" s="163" t="s">
        <v>466</v>
      </c>
      <c r="D651" s="77"/>
      <c r="E651" s="201">
        <v>1</v>
      </c>
      <c r="F651" s="202"/>
      <c r="G651" s="202"/>
      <c r="H651" s="202"/>
      <c r="I651" s="239"/>
      <c r="J651" s="266">
        <v>1</v>
      </c>
      <c r="K651" s="326"/>
      <c r="M651" s="2"/>
      <c r="N651" s="2"/>
    </row>
    <row r="652" spans="1:14" ht="18" customHeight="1" x14ac:dyDescent="0.35">
      <c r="A652"/>
      <c r="B652" s="17"/>
      <c r="C652" s="163" t="s">
        <v>467</v>
      </c>
      <c r="D652" s="77"/>
      <c r="E652" s="201">
        <v>1</v>
      </c>
      <c r="F652" s="202"/>
      <c r="G652" s="202"/>
      <c r="H652" s="202"/>
      <c r="I652" s="239"/>
      <c r="J652" s="266">
        <v>1</v>
      </c>
      <c r="K652" s="326"/>
      <c r="M652" s="2"/>
      <c r="N652" s="2"/>
    </row>
    <row r="653" spans="1:14" ht="18" customHeight="1" x14ac:dyDescent="0.35">
      <c r="A653"/>
      <c r="B653" s="17"/>
      <c r="C653" s="163" t="s">
        <v>468</v>
      </c>
      <c r="D653" s="77"/>
      <c r="E653" s="201">
        <v>1</v>
      </c>
      <c r="F653" s="202"/>
      <c r="G653" s="202"/>
      <c r="H653" s="202"/>
      <c r="I653" s="239"/>
      <c r="J653" s="266">
        <v>1</v>
      </c>
      <c r="K653" s="326"/>
      <c r="M653" s="2"/>
      <c r="N653" s="2"/>
    </row>
    <row r="654" spans="1:14" ht="18" customHeight="1" x14ac:dyDescent="0.35">
      <c r="A654"/>
      <c r="B654" s="17"/>
      <c r="C654" s="163" t="s">
        <v>469</v>
      </c>
      <c r="D654" s="77"/>
      <c r="E654" s="201">
        <v>1</v>
      </c>
      <c r="F654" s="202"/>
      <c r="G654" s="202"/>
      <c r="H654" s="202"/>
      <c r="I654" s="239"/>
      <c r="J654" s="266">
        <v>1</v>
      </c>
      <c r="K654" s="326"/>
      <c r="M654" s="2"/>
      <c r="N654" s="2"/>
    </row>
    <row r="655" spans="1:14" ht="18" customHeight="1" x14ac:dyDescent="0.35">
      <c r="A655"/>
      <c r="B655" s="17"/>
      <c r="C655" s="163" t="s">
        <v>470</v>
      </c>
      <c r="D655" s="77"/>
      <c r="E655" s="201">
        <v>1</v>
      </c>
      <c r="F655" s="202"/>
      <c r="G655" s="202"/>
      <c r="H655" s="202"/>
      <c r="I655" s="239"/>
      <c r="J655" s="266">
        <v>1</v>
      </c>
      <c r="K655" s="326"/>
      <c r="M655" s="2"/>
      <c r="N655" s="2"/>
    </row>
    <row r="656" spans="1:14" ht="18" customHeight="1" x14ac:dyDescent="0.35">
      <c r="A656"/>
      <c r="B656" s="17"/>
      <c r="C656" s="111" t="s">
        <v>474</v>
      </c>
      <c r="D656" s="77"/>
      <c r="E656" s="201">
        <v>1</v>
      </c>
      <c r="F656" s="202"/>
      <c r="G656" s="202"/>
      <c r="H656" s="202"/>
      <c r="I656" s="239"/>
      <c r="J656" s="266">
        <v>1</v>
      </c>
      <c r="K656" s="323"/>
      <c r="M656" s="2"/>
      <c r="N656" s="2"/>
    </row>
    <row r="657" spans="1:14" ht="18" customHeight="1" x14ac:dyDescent="0.35">
      <c r="A657"/>
      <c r="B657" s="17"/>
      <c r="C657" s="163" t="s">
        <v>475</v>
      </c>
      <c r="D657" s="77"/>
      <c r="E657" s="201">
        <v>1</v>
      </c>
      <c r="F657" s="202"/>
      <c r="G657" s="202"/>
      <c r="H657" s="202"/>
      <c r="I657" s="239"/>
      <c r="J657" s="266">
        <v>1</v>
      </c>
      <c r="K657" s="323"/>
      <c r="M657" s="2"/>
      <c r="N657" s="2"/>
    </row>
    <row r="658" spans="1:14" ht="18" customHeight="1" x14ac:dyDescent="0.35">
      <c r="A658"/>
      <c r="B658" s="17"/>
      <c r="C658" s="163" t="s">
        <v>476</v>
      </c>
      <c r="D658" s="77"/>
      <c r="E658" s="201">
        <v>1</v>
      </c>
      <c r="F658" s="202"/>
      <c r="G658" s="202"/>
      <c r="H658" s="202"/>
      <c r="I658" s="239"/>
      <c r="J658" s="266">
        <v>1</v>
      </c>
      <c r="K658" s="323"/>
      <c r="M658" s="2"/>
      <c r="N658" s="2"/>
    </row>
    <row r="659" spans="1:14" ht="18" customHeight="1" x14ac:dyDescent="0.35">
      <c r="A659"/>
      <c r="B659" s="17"/>
      <c r="C659" s="163" t="s">
        <v>477</v>
      </c>
      <c r="D659" s="77"/>
      <c r="E659" s="201">
        <v>1</v>
      </c>
      <c r="F659" s="202"/>
      <c r="G659" s="202"/>
      <c r="H659" s="202"/>
      <c r="I659" s="239"/>
      <c r="J659" s="266">
        <v>1</v>
      </c>
      <c r="K659" s="323"/>
      <c r="M659" s="2"/>
      <c r="N659" s="2"/>
    </row>
    <row r="660" spans="1:14" ht="18" customHeight="1" x14ac:dyDescent="0.35">
      <c r="A660"/>
      <c r="B660" s="17"/>
      <c r="C660" s="163" t="s">
        <v>478</v>
      </c>
      <c r="D660" s="77"/>
      <c r="E660" s="201">
        <v>1</v>
      </c>
      <c r="F660" s="202"/>
      <c r="G660" s="202"/>
      <c r="H660" s="202"/>
      <c r="I660" s="239"/>
      <c r="J660" s="266">
        <v>1</v>
      </c>
      <c r="K660" s="323"/>
      <c r="M660" s="2"/>
      <c r="N660" s="2"/>
    </row>
    <row r="661" spans="1:14" ht="18" customHeight="1" x14ac:dyDescent="0.35">
      <c r="A661"/>
      <c r="B661" s="17"/>
      <c r="C661" s="111" t="s">
        <v>479</v>
      </c>
      <c r="D661" s="77"/>
      <c r="E661" s="201">
        <v>1</v>
      </c>
      <c r="F661" s="202"/>
      <c r="G661" s="202"/>
      <c r="H661" s="202"/>
      <c r="I661" s="239"/>
      <c r="J661" s="266">
        <v>1</v>
      </c>
      <c r="K661" s="323"/>
      <c r="M661" s="2"/>
      <c r="N661" s="2"/>
    </row>
    <row r="662" spans="1:14" ht="18" customHeight="1" x14ac:dyDescent="0.35">
      <c r="A662"/>
      <c r="B662" s="17"/>
      <c r="C662" s="163" t="s">
        <v>480</v>
      </c>
      <c r="D662" s="77"/>
      <c r="E662" s="201">
        <v>1</v>
      </c>
      <c r="F662" s="202"/>
      <c r="G662" s="202"/>
      <c r="H662" s="202"/>
      <c r="I662" s="239"/>
      <c r="J662" s="266">
        <v>1</v>
      </c>
      <c r="K662" s="323"/>
      <c r="M662" s="2"/>
      <c r="N662" s="2"/>
    </row>
    <row r="663" spans="1:14" ht="18" customHeight="1" x14ac:dyDescent="0.35">
      <c r="A663"/>
      <c r="B663" s="17"/>
      <c r="C663" s="163" t="s">
        <v>238</v>
      </c>
      <c r="D663" s="77"/>
      <c r="E663" s="201">
        <v>1</v>
      </c>
      <c r="F663" s="202"/>
      <c r="G663" s="202"/>
      <c r="H663" s="202"/>
      <c r="I663" s="239"/>
      <c r="J663" s="266">
        <v>1</v>
      </c>
      <c r="K663" s="323"/>
      <c r="M663" s="2"/>
      <c r="N663" s="2"/>
    </row>
    <row r="664" spans="1:14" ht="18" customHeight="1" x14ac:dyDescent="0.35">
      <c r="A664"/>
      <c r="B664" s="17"/>
      <c r="C664" s="163" t="s">
        <v>481</v>
      </c>
      <c r="D664" s="77"/>
      <c r="E664" s="201">
        <v>1</v>
      </c>
      <c r="F664" s="202"/>
      <c r="G664" s="202"/>
      <c r="H664" s="202"/>
      <c r="I664" s="239"/>
      <c r="J664" s="266">
        <v>1</v>
      </c>
      <c r="K664" s="323"/>
      <c r="M664" s="2"/>
      <c r="N664" s="2"/>
    </row>
    <row r="665" spans="1:14" ht="18" customHeight="1" x14ac:dyDescent="0.35">
      <c r="A665"/>
      <c r="B665" s="17"/>
      <c r="C665" s="163" t="s">
        <v>482</v>
      </c>
      <c r="D665" s="77"/>
      <c r="E665" s="201">
        <v>1</v>
      </c>
      <c r="F665" s="202"/>
      <c r="G665" s="202"/>
      <c r="H665" s="202"/>
      <c r="I665" s="239"/>
      <c r="J665" s="266">
        <v>1</v>
      </c>
      <c r="K665" s="323"/>
      <c r="M665" s="2"/>
      <c r="N665" s="2"/>
    </row>
    <row r="666" spans="1:14" ht="18" customHeight="1" x14ac:dyDescent="0.35">
      <c r="A666"/>
      <c r="B666" s="17"/>
      <c r="C666" s="163" t="s">
        <v>483</v>
      </c>
      <c r="D666" s="77"/>
      <c r="E666" s="201"/>
      <c r="F666" s="202">
        <v>1</v>
      </c>
      <c r="G666" s="202"/>
      <c r="H666" s="202"/>
      <c r="I666" s="239"/>
      <c r="J666" s="266">
        <v>1</v>
      </c>
      <c r="K666" s="323"/>
      <c r="M666" s="2"/>
      <c r="N666" s="2"/>
    </row>
    <row r="667" spans="1:14" ht="18" customHeight="1" x14ac:dyDescent="0.35">
      <c r="A667"/>
      <c r="B667" s="17"/>
      <c r="C667" s="111" t="s">
        <v>484</v>
      </c>
      <c r="D667" s="77"/>
      <c r="E667" s="201">
        <v>1</v>
      </c>
      <c r="F667" s="202"/>
      <c r="G667" s="202"/>
      <c r="H667" s="202"/>
      <c r="I667" s="239"/>
      <c r="J667" s="266">
        <v>1</v>
      </c>
      <c r="K667" s="323"/>
      <c r="M667" s="2"/>
      <c r="N667" s="2"/>
    </row>
    <row r="668" spans="1:14" ht="18" customHeight="1" x14ac:dyDescent="0.35">
      <c r="A668"/>
      <c r="B668" s="17"/>
      <c r="C668" s="111" t="s">
        <v>487</v>
      </c>
      <c r="D668" s="77"/>
      <c r="E668" s="201">
        <v>1</v>
      </c>
      <c r="F668" s="202"/>
      <c r="G668" s="202"/>
      <c r="H668" s="202"/>
      <c r="I668" s="239"/>
      <c r="J668" s="266">
        <v>1</v>
      </c>
      <c r="K668" s="323"/>
      <c r="M668" s="2"/>
      <c r="N668" s="2"/>
    </row>
    <row r="669" spans="1:14" ht="18" customHeight="1" x14ac:dyDescent="0.35">
      <c r="A669"/>
      <c r="B669" s="17"/>
      <c r="C669" s="163" t="s">
        <v>488</v>
      </c>
      <c r="D669" s="77"/>
      <c r="E669" s="201">
        <v>1</v>
      </c>
      <c r="F669" s="202"/>
      <c r="G669" s="202"/>
      <c r="H669" s="202"/>
      <c r="I669" s="239"/>
      <c r="J669" s="266">
        <v>1</v>
      </c>
      <c r="K669" s="323"/>
      <c r="M669" s="2"/>
      <c r="N669" s="2"/>
    </row>
    <row r="670" spans="1:14" ht="18" customHeight="1" x14ac:dyDescent="0.35">
      <c r="A670"/>
      <c r="B670" s="17"/>
      <c r="C670" s="163" t="s">
        <v>489</v>
      </c>
      <c r="D670" s="77"/>
      <c r="E670" s="201">
        <v>1</v>
      </c>
      <c r="F670" s="202"/>
      <c r="G670" s="202"/>
      <c r="H670" s="202"/>
      <c r="I670" s="239"/>
      <c r="J670" s="266">
        <v>1</v>
      </c>
      <c r="K670" s="323"/>
      <c r="M670" s="2"/>
      <c r="N670" s="2"/>
    </row>
    <row r="671" spans="1:14" ht="18" customHeight="1" x14ac:dyDescent="0.35">
      <c r="A671"/>
      <c r="B671" s="17"/>
      <c r="C671" s="163" t="s">
        <v>490</v>
      </c>
      <c r="D671" s="77"/>
      <c r="E671" s="201">
        <v>1</v>
      </c>
      <c r="F671" s="202"/>
      <c r="G671" s="202"/>
      <c r="H671" s="202"/>
      <c r="I671" s="239"/>
      <c r="J671" s="266">
        <v>1</v>
      </c>
      <c r="K671" s="323"/>
      <c r="M671" s="2"/>
      <c r="N671" s="2"/>
    </row>
    <row r="672" spans="1:14" ht="18" customHeight="1" x14ac:dyDescent="0.35">
      <c r="A672"/>
      <c r="B672" s="17"/>
      <c r="C672" s="163" t="s">
        <v>491</v>
      </c>
      <c r="D672" s="77"/>
      <c r="E672" s="201">
        <v>1</v>
      </c>
      <c r="F672" s="202"/>
      <c r="G672" s="202"/>
      <c r="H672" s="202"/>
      <c r="I672" s="239"/>
      <c r="J672" s="266">
        <v>1</v>
      </c>
      <c r="K672" s="323"/>
      <c r="M672" s="2"/>
      <c r="N672" s="2"/>
    </row>
    <row r="673" spans="1:14" ht="18" customHeight="1" x14ac:dyDescent="0.35">
      <c r="A673"/>
      <c r="B673" s="17"/>
      <c r="C673" s="163" t="s">
        <v>492</v>
      </c>
      <c r="D673" s="77"/>
      <c r="E673" s="201">
        <v>1</v>
      </c>
      <c r="F673" s="202"/>
      <c r="G673" s="202"/>
      <c r="H673" s="202"/>
      <c r="I673" s="239"/>
      <c r="J673" s="266">
        <v>1</v>
      </c>
      <c r="K673" s="323"/>
      <c r="M673" s="2"/>
      <c r="N673" s="2"/>
    </row>
    <row r="674" spans="1:14" ht="18" customHeight="1" x14ac:dyDescent="0.35">
      <c r="A674"/>
      <c r="B674" s="17"/>
      <c r="C674" s="111" t="s">
        <v>493</v>
      </c>
      <c r="D674" s="77"/>
      <c r="E674" s="201">
        <v>1</v>
      </c>
      <c r="F674" s="202"/>
      <c r="G674" s="202"/>
      <c r="H674" s="202"/>
      <c r="I674" s="239"/>
      <c r="J674" s="266">
        <v>1</v>
      </c>
      <c r="K674" s="323"/>
      <c r="M674" s="2"/>
      <c r="N674" s="2"/>
    </row>
    <row r="675" spans="1:14" ht="18" customHeight="1" x14ac:dyDescent="0.35">
      <c r="A675"/>
      <c r="B675" s="17"/>
      <c r="C675" s="111" t="s">
        <v>528</v>
      </c>
      <c r="D675" s="77"/>
      <c r="E675" s="201">
        <v>1</v>
      </c>
      <c r="F675" s="202"/>
      <c r="G675" s="202"/>
      <c r="H675" s="202"/>
      <c r="I675" s="239"/>
      <c r="J675" s="266">
        <v>1</v>
      </c>
      <c r="K675" s="323"/>
      <c r="M675" s="2"/>
      <c r="N675" s="2"/>
    </row>
    <row r="676" spans="1:14" ht="18" customHeight="1" x14ac:dyDescent="0.35">
      <c r="A676"/>
      <c r="B676" s="17"/>
      <c r="C676" s="111" t="s">
        <v>529</v>
      </c>
      <c r="D676" s="77"/>
      <c r="E676" s="201">
        <v>1</v>
      </c>
      <c r="F676" s="202"/>
      <c r="G676" s="202"/>
      <c r="H676" s="202"/>
      <c r="I676" s="239"/>
      <c r="J676" s="266">
        <v>1</v>
      </c>
      <c r="K676" s="323"/>
      <c r="M676" s="2"/>
      <c r="N676" s="2"/>
    </row>
    <row r="677" spans="1:14" ht="18" customHeight="1" x14ac:dyDescent="0.35">
      <c r="A677"/>
      <c r="B677" s="17"/>
      <c r="C677" s="163" t="s">
        <v>496</v>
      </c>
      <c r="D677" s="77"/>
      <c r="E677" s="201">
        <v>1</v>
      </c>
      <c r="F677" s="202"/>
      <c r="G677" s="202"/>
      <c r="H677" s="202"/>
      <c r="I677" s="239"/>
      <c r="J677" s="266">
        <v>1</v>
      </c>
      <c r="K677" s="323"/>
      <c r="M677" s="2"/>
      <c r="N677" s="2"/>
    </row>
    <row r="678" spans="1:14" ht="18" customHeight="1" x14ac:dyDescent="0.35">
      <c r="A678"/>
      <c r="B678" s="17"/>
      <c r="C678" s="163" t="s">
        <v>497</v>
      </c>
      <c r="D678" s="77"/>
      <c r="E678" s="201">
        <v>1</v>
      </c>
      <c r="F678" s="202"/>
      <c r="G678" s="202"/>
      <c r="H678" s="202"/>
      <c r="I678" s="239"/>
      <c r="J678" s="266">
        <v>1</v>
      </c>
      <c r="K678" s="323"/>
      <c r="M678" s="2"/>
      <c r="N678" s="2"/>
    </row>
    <row r="679" spans="1:14" ht="18" customHeight="1" x14ac:dyDescent="0.35">
      <c r="A679"/>
      <c r="B679" s="17"/>
      <c r="C679" s="163" t="s">
        <v>498</v>
      </c>
      <c r="D679" s="77"/>
      <c r="E679" s="201">
        <v>1</v>
      </c>
      <c r="F679" s="202"/>
      <c r="G679" s="202"/>
      <c r="H679" s="202"/>
      <c r="I679" s="239"/>
      <c r="J679" s="266">
        <v>1</v>
      </c>
      <c r="K679" s="323"/>
      <c r="M679" s="2"/>
      <c r="N679" s="2"/>
    </row>
    <row r="680" spans="1:14" ht="18" customHeight="1" x14ac:dyDescent="0.35">
      <c r="A680"/>
      <c r="B680" s="17"/>
      <c r="C680" s="163" t="s">
        <v>499</v>
      </c>
      <c r="D680" s="77"/>
      <c r="E680" s="201">
        <v>1</v>
      </c>
      <c r="F680" s="202"/>
      <c r="G680" s="202"/>
      <c r="H680" s="202"/>
      <c r="I680" s="239"/>
      <c r="J680" s="266">
        <v>1</v>
      </c>
      <c r="K680" s="323"/>
      <c r="M680" s="2"/>
      <c r="N680" s="2"/>
    </row>
    <row r="681" spans="1:14" ht="18" customHeight="1" x14ac:dyDescent="0.35">
      <c r="A681"/>
      <c r="B681" s="17"/>
      <c r="C681" s="112" t="s">
        <v>418</v>
      </c>
      <c r="D681" s="77"/>
      <c r="E681" s="201">
        <v>1</v>
      </c>
      <c r="F681" s="202"/>
      <c r="G681" s="202"/>
      <c r="H681" s="202"/>
      <c r="I681" s="239"/>
      <c r="J681" s="266">
        <v>1</v>
      </c>
      <c r="K681" s="323"/>
      <c r="M681" s="2"/>
      <c r="N681" s="2"/>
    </row>
    <row r="682" spans="1:14" ht="18" customHeight="1" x14ac:dyDescent="0.35">
      <c r="A682"/>
      <c r="B682" s="17"/>
      <c r="C682" s="113" t="s">
        <v>500</v>
      </c>
      <c r="D682" s="77"/>
      <c r="E682" s="201">
        <v>1</v>
      </c>
      <c r="F682" s="202"/>
      <c r="G682" s="202"/>
      <c r="H682" s="202"/>
      <c r="I682" s="239"/>
      <c r="J682" s="266">
        <v>1</v>
      </c>
      <c r="K682" s="323"/>
      <c r="M682" s="2"/>
      <c r="N682" s="2"/>
    </row>
    <row r="683" spans="1:14" ht="18" customHeight="1" x14ac:dyDescent="0.35">
      <c r="A683"/>
      <c r="B683" s="17"/>
      <c r="C683" s="113" t="s">
        <v>530</v>
      </c>
      <c r="D683" s="77"/>
      <c r="E683" s="201">
        <v>1</v>
      </c>
      <c r="F683" s="202"/>
      <c r="G683" s="202"/>
      <c r="H683" s="202"/>
      <c r="I683" s="239"/>
      <c r="J683" s="266">
        <v>1</v>
      </c>
      <c r="K683" s="323"/>
      <c r="M683" s="2"/>
      <c r="N683" s="2"/>
    </row>
    <row r="684" spans="1:14" ht="18" customHeight="1" x14ac:dyDescent="0.35">
      <c r="A684"/>
      <c r="B684" s="17"/>
      <c r="C684" s="113" t="s">
        <v>502</v>
      </c>
      <c r="D684" s="77"/>
      <c r="E684" s="212">
        <v>1</v>
      </c>
      <c r="F684" s="213"/>
      <c r="G684" s="213"/>
      <c r="H684" s="213"/>
      <c r="I684" s="251"/>
      <c r="J684" s="266">
        <v>1</v>
      </c>
      <c r="K684" s="352"/>
      <c r="M684" s="2"/>
      <c r="N684" s="2"/>
    </row>
    <row r="685" spans="1:14" ht="18" customHeight="1" x14ac:dyDescent="0.35">
      <c r="A685"/>
      <c r="B685" s="17"/>
      <c r="C685" s="113" t="s">
        <v>503</v>
      </c>
      <c r="D685" s="77"/>
      <c r="E685" s="212">
        <v>1</v>
      </c>
      <c r="F685" s="213"/>
      <c r="G685" s="213"/>
      <c r="H685" s="213"/>
      <c r="I685" s="251"/>
      <c r="J685" s="266">
        <v>1</v>
      </c>
      <c r="K685" s="352"/>
      <c r="M685" s="2"/>
      <c r="N685" s="2"/>
    </row>
    <row r="686" spans="1:14" ht="18" customHeight="1" x14ac:dyDescent="0.35">
      <c r="A686"/>
      <c r="B686" s="17"/>
      <c r="C686" s="113" t="s">
        <v>531</v>
      </c>
      <c r="D686" s="77"/>
      <c r="E686" s="212">
        <v>1</v>
      </c>
      <c r="F686" s="213"/>
      <c r="G686" s="213"/>
      <c r="H686" s="213"/>
      <c r="I686" s="251"/>
      <c r="J686" s="266">
        <v>1</v>
      </c>
      <c r="K686" s="353"/>
      <c r="M686" s="2"/>
      <c r="N686" s="2"/>
    </row>
    <row r="687" spans="1:14" ht="18" customHeight="1" x14ac:dyDescent="0.35">
      <c r="A687"/>
      <c r="B687" s="17"/>
      <c r="C687" s="113" t="s">
        <v>532</v>
      </c>
      <c r="D687" s="77"/>
      <c r="E687" s="212">
        <v>1</v>
      </c>
      <c r="F687" s="213"/>
      <c r="G687" s="213"/>
      <c r="H687" s="213"/>
      <c r="I687" s="251"/>
      <c r="J687" s="266">
        <v>1</v>
      </c>
      <c r="K687" s="352"/>
      <c r="M687" s="2"/>
      <c r="N687" s="2"/>
    </row>
    <row r="688" spans="1:14" ht="18" customHeight="1" x14ac:dyDescent="0.35">
      <c r="A688"/>
      <c r="B688" s="41"/>
      <c r="C688" s="111" t="s">
        <v>533</v>
      </c>
      <c r="D688" s="86"/>
      <c r="E688" s="306">
        <v>1</v>
      </c>
      <c r="F688" s="307"/>
      <c r="G688" s="307"/>
      <c r="H688" s="307"/>
      <c r="I688" s="308"/>
      <c r="J688" s="266">
        <v>1</v>
      </c>
      <c r="K688" s="364"/>
      <c r="M688" s="2"/>
      <c r="N688" s="2"/>
    </row>
    <row r="689" spans="1:14" ht="18" customHeight="1" x14ac:dyDescent="0.35">
      <c r="A689"/>
      <c r="B689" s="41"/>
      <c r="C689" s="113" t="s">
        <v>534</v>
      </c>
      <c r="D689" s="86"/>
      <c r="E689" s="306">
        <v>1</v>
      </c>
      <c r="F689" s="307"/>
      <c r="G689" s="307"/>
      <c r="H689" s="307"/>
      <c r="I689" s="308"/>
      <c r="J689" s="266">
        <v>1</v>
      </c>
      <c r="K689" s="364"/>
      <c r="M689" s="2"/>
      <c r="N689" s="2"/>
    </row>
    <row r="690" spans="1:14" ht="18" customHeight="1" x14ac:dyDescent="0.35">
      <c r="A690"/>
      <c r="B690" s="41"/>
      <c r="C690" s="113" t="s">
        <v>535</v>
      </c>
      <c r="D690" s="86"/>
      <c r="E690" s="306">
        <v>1</v>
      </c>
      <c r="F690" s="307"/>
      <c r="G690" s="307"/>
      <c r="H690" s="307"/>
      <c r="I690" s="308"/>
      <c r="J690" s="266">
        <v>1</v>
      </c>
      <c r="K690" s="364"/>
      <c r="M690" s="2"/>
      <c r="N690" s="2"/>
    </row>
    <row r="691" spans="1:14" ht="18" customHeight="1" x14ac:dyDescent="0.35">
      <c r="A691"/>
      <c r="B691" s="41"/>
      <c r="C691" s="113" t="s">
        <v>536</v>
      </c>
      <c r="D691" s="86"/>
      <c r="E691" s="306">
        <v>1</v>
      </c>
      <c r="F691" s="307"/>
      <c r="G691" s="307"/>
      <c r="H691" s="307"/>
      <c r="I691" s="308"/>
      <c r="J691" s="266">
        <v>1</v>
      </c>
      <c r="K691" s="364"/>
      <c r="M691" s="2"/>
      <c r="N691" s="2"/>
    </row>
    <row r="692" spans="1:14" ht="18" customHeight="1" x14ac:dyDescent="0.35">
      <c r="A692"/>
      <c r="B692" s="41"/>
      <c r="C692" s="113" t="s">
        <v>537</v>
      </c>
      <c r="D692" s="86"/>
      <c r="E692" s="306">
        <v>1</v>
      </c>
      <c r="F692" s="307"/>
      <c r="G692" s="307"/>
      <c r="H692" s="307"/>
      <c r="I692" s="308"/>
      <c r="J692" s="266">
        <v>1</v>
      </c>
      <c r="K692" s="364"/>
      <c r="M692" s="2"/>
      <c r="N692" s="2"/>
    </row>
    <row r="693" spans="1:14" ht="18" customHeight="1" x14ac:dyDescent="0.35">
      <c r="A693"/>
      <c r="B693" s="41"/>
      <c r="C693" s="113" t="s">
        <v>507</v>
      </c>
      <c r="D693" s="86"/>
      <c r="E693" s="306">
        <v>1</v>
      </c>
      <c r="F693" s="307"/>
      <c r="G693" s="307"/>
      <c r="H693" s="307"/>
      <c r="I693" s="308"/>
      <c r="J693" s="266">
        <v>1</v>
      </c>
      <c r="K693" s="364"/>
      <c r="M693" s="2"/>
      <c r="N693" s="2"/>
    </row>
    <row r="694" spans="1:14" ht="18" customHeight="1" x14ac:dyDescent="0.35">
      <c r="A694"/>
      <c r="B694" s="41"/>
      <c r="C694" s="113" t="s">
        <v>538</v>
      </c>
      <c r="D694" s="86"/>
      <c r="E694" s="306">
        <v>1</v>
      </c>
      <c r="F694" s="307"/>
      <c r="G694" s="307"/>
      <c r="H694" s="307"/>
      <c r="I694" s="308"/>
      <c r="J694" s="266">
        <v>1</v>
      </c>
      <c r="K694" s="364"/>
      <c r="M694" s="2"/>
      <c r="N694" s="2"/>
    </row>
    <row r="695" spans="1:14" ht="15.5" x14ac:dyDescent="0.35">
      <c r="A695"/>
      <c r="B695" s="41"/>
      <c r="C695" s="111" t="s">
        <v>539</v>
      </c>
      <c r="D695" s="86"/>
      <c r="E695" s="306">
        <v>1</v>
      </c>
      <c r="F695" s="307"/>
      <c r="G695" s="307"/>
      <c r="H695" s="307"/>
      <c r="I695" s="308"/>
      <c r="J695" s="266">
        <v>1</v>
      </c>
      <c r="K695" s="364"/>
      <c r="M695" s="2"/>
      <c r="N695" s="2"/>
    </row>
    <row r="696" spans="1:14" ht="18" customHeight="1" x14ac:dyDescent="0.35">
      <c r="A696"/>
      <c r="B696" s="41"/>
      <c r="C696" s="111" t="s">
        <v>540</v>
      </c>
      <c r="D696" s="86"/>
      <c r="E696" s="306">
        <v>1</v>
      </c>
      <c r="F696" s="307"/>
      <c r="G696" s="307"/>
      <c r="H696" s="307"/>
      <c r="I696" s="308"/>
      <c r="J696" s="266">
        <v>1</v>
      </c>
      <c r="K696" s="364"/>
      <c r="M696" s="2"/>
      <c r="N696" s="2"/>
    </row>
    <row r="697" spans="1:14" ht="18" customHeight="1" x14ac:dyDescent="0.35">
      <c r="A697"/>
      <c r="B697" s="41"/>
      <c r="C697" s="113" t="s">
        <v>504</v>
      </c>
      <c r="D697" s="86"/>
      <c r="E697" s="306"/>
      <c r="F697" s="307">
        <v>1</v>
      </c>
      <c r="G697" s="307"/>
      <c r="H697" s="307"/>
      <c r="I697" s="308"/>
      <c r="J697" s="266">
        <v>1</v>
      </c>
      <c r="K697" s="364"/>
      <c r="M697" s="2"/>
      <c r="N697" s="2"/>
    </row>
    <row r="698" spans="1:14" ht="18" customHeight="1" x14ac:dyDescent="0.35">
      <c r="A698"/>
      <c r="B698" s="41"/>
      <c r="C698" s="113" t="s">
        <v>505</v>
      </c>
      <c r="D698" s="86"/>
      <c r="E698" s="306">
        <v>1</v>
      </c>
      <c r="F698" s="307"/>
      <c r="G698" s="307"/>
      <c r="H698" s="307"/>
      <c r="I698" s="308"/>
      <c r="J698" s="266">
        <v>1</v>
      </c>
      <c r="K698" s="364"/>
      <c r="M698" s="2"/>
      <c r="N698" s="2"/>
    </row>
    <row r="699" spans="1:14" ht="18" customHeight="1" thickBot="1" x14ac:dyDescent="0.4">
      <c r="A699"/>
      <c r="B699" s="41"/>
      <c r="C699" s="87"/>
      <c r="D699" s="86"/>
      <c r="E699" s="310"/>
      <c r="F699" s="311"/>
      <c r="G699" s="311"/>
      <c r="H699" s="311"/>
      <c r="I699" s="312"/>
      <c r="J699" s="313"/>
      <c r="K699" s="367"/>
      <c r="M699" s="2"/>
      <c r="N699" s="2"/>
    </row>
    <row r="700" spans="1:14" ht="20.149999999999999" customHeight="1" x14ac:dyDescent="0.35">
      <c r="A700"/>
      <c r="B700" s="41"/>
      <c r="C700" s="27"/>
      <c r="D700" s="133"/>
      <c r="E700" s="195">
        <f t="shared" ref="E700:J700" si="12">SUM(E649:E699)</f>
        <v>48</v>
      </c>
      <c r="F700" s="195">
        <f t="shared" si="12"/>
        <v>2</v>
      </c>
      <c r="G700" s="195">
        <f t="shared" si="12"/>
        <v>0</v>
      </c>
      <c r="H700" s="195">
        <f t="shared" si="12"/>
        <v>0</v>
      </c>
      <c r="I700" s="195">
        <f t="shared" si="12"/>
        <v>0</v>
      </c>
      <c r="J700" s="195">
        <f t="shared" si="12"/>
        <v>50</v>
      </c>
      <c r="K700" s="25"/>
      <c r="M700" s="2"/>
      <c r="N700" s="2"/>
    </row>
    <row r="701" spans="1:14" ht="20.149999999999999" customHeight="1" x14ac:dyDescent="0.35">
      <c r="A701"/>
      <c r="B701" s="41"/>
      <c r="C701" s="27"/>
      <c r="D701" s="25"/>
      <c r="E701" s="211"/>
      <c r="F701" s="211"/>
      <c r="G701" s="211"/>
      <c r="H701" s="211"/>
      <c r="I701" s="211"/>
      <c r="J701" s="211"/>
      <c r="K701" s="25"/>
      <c r="M701" s="2"/>
      <c r="N701" s="2"/>
    </row>
    <row r="702" spans="1:14" ht="20.149999999999999" customHeight="1" x14ac:dyDescent="0.35">
      <c r="A702"/>
      <c r="B702" s="117">
        <v>1.1299999999999999</v>
      </c>
      <c r="C702" s="100" t="s">
        <v>541</v>
      </c>
      <c r="D702" s="21"/>
      <c r="E702" s="196"/>
      <c r="F702" s="196"/>
      <c r="G702" s="196"/>
      <c r="H702" s="196"/>
      <c r="I702" s="196"/>
      <c r="J702" s="196"/>
      <c r="K702" s="320"/>
      <c r="M702" s="2"/>
      <c r="N702" s="2"/>
    </row>
    <row r="703" spans="1:14" ht="20.149999999999999" customHeight="1" thickBot="1" x14ac:dyDescent="0.4">
      <c r="A703"/>
      <c r="B703" s="17"/>
      <c r="C703" s="28"/>
      <c r="D703" s="24"/>
      <c r="E703" s="211"/>
      <c r="F703" s="211"/>
      <c r="G703" s="211"/>
      <c r="H703" s="211"/>
      <c r="I703" s="211"/>
      <c r="J703" s="211"/>
      <c r="K703" s="330"/>
      <c r="M703" s="2"/>
      <c r="N703" s="2"/>
    </row>
    <row r="704" spans="1:14" ht="20.149999999999999" customHeight="1" x14ac:dyDescent="0.35">
      <c r="A704"/>
      <c r="B704" s="17"/>
      <c r="C704" s="79" t="s">
        <v>38</v>
      </c>
      <c r="D704" s="76"/>
      <c r="E704" s="198" t="s">
        <v>20</v>
      </c>
      <c r="F704" s="198" t="s">
        <v>24</v>
      </c>
      <c r="G704" s="198" t="s">
        <v>27</v>
      </c>
      <c r="H704" s="198" t="s">
        <v>29</v>
      </c>
      <c r="I704" s="199" t="s">
        <v>32</v>
      </c>
      <c r="J704" s="200" t="s">
        <v>35</v>
      </c>
      <c r="K704" s="322" t="s">
        <v>39</v>
      </c>
      <c r="M704" s="2"/>
      <c r="N704" s="2"/>
    </row>
    <row r="705" spans="1:14" ht="18" customHeight="1" x14ac:dyDescent="0.35">
      <c r="A705"/>
      <c r="B705" s="17"/>
      <c r="C705" s="115" t="s">
        <v>542</v>
      </c>
      <c r="D705" s="77"/>
      <c r="E705" s="201">
        <v>1</v>
      </c>
      <c r="F705" s="202"/>
      <c r="G705" s="202"/>
      <c r="H705" s="202"/>
      <c r="I705" s="239"/>
      <c r="J705" s="266">
        <v>1</v>
      </c>
      <c r="K705" s="323"/>
      <c r="M705" s="2"/>
      <c r="N705" s="2"/>
    </row>
    <row r="706" spans="1:14" ht="18" customHeight="1" x14ac:dyDescent="0.35">
      <c r="A706"/>
      <c r="B706" s="17"/>
      <c r="C706" s="115" t="s">
        <v>543</v>
      </c>
      <c r="D706" s="77"/>
      <c r="E706" s="201">
        <v>1</v>
      </c>
      <c r="F706" s="202"/>
      <c r="G706" s="202"/>
      <c r="H706" s="202"/>
      <c r="I706" s="239"/>
      <c r="J706" s="266">
        <v>1</v>
      </c>
      <c r="K706" s="323"/>
      <c r="M706" s="2"/>
      <c r="N706" s="2"/>
    </row>
    <row r="707" spans="1:14" ht="18" customHeight="1" x14ac:dyDescent="0.35">
      <c r="A707"/>
      <c r="B707" s="17"/>
      <c r="C707" s="115" t="s">
        <v>182</v>
      </c>
      <c r="D707" s="77"/>
      <c r="E707" s="201">
        <v>1</v>
      </c>
      <c r="F707" s="202"/>
      <c r="G707" s="202"/>
      <c r="H707" s="202"/>
      <c r="I707" s="239"/>
      <c r="J707" s="266">
        <v>1</v>
      </c>
      <c r="K707" s="323"/>
      <c r="M707" s="2"/>
      <c r="N707" s="2"/>
    </row>
    <row r="708" spans="1:14" ht="31" x14ac:dyDescent="0.35">
      <c r="A708"/>
      <c r="B708" s="17"/>
      <c r="C708" s="116" t="s">
        <v>183</v>
      </c>
      <c r="D708" s="77"/>
      <c r="E708" s="201">
        <v>1</v>
      </c>
      <c r="F708" s="202"/>
      <c r="G708" s="202"/>
      <c r="H708" s="202"/>
      <c r="I708" s="239"/>
      <c r="J708" s="266">
        <v>1</v>
      </c>
      <c r="K708" s="323"/>
      <c r="M708" s="2"/>
      <c r="N708" s="2"/>
    </row>
    <row r="709" spans="1:14" ht="18" customHeight="1" x14ac:dyDescent="0.35">
      <c r="A709"/>
      <c r="B709" s="17"/>
      <c r="C709" s="115" t="s">
        <v>184</v>
      </c>
      <c r="D709" s="77"/>
      <c r="E709" s="201">
        <v>1</v>
      </c>
      <c r="F709" s="202"/>
      <c r="G709" s="202"/>
      <c r="H709" s="202"/>
      <c r="I709" s="239"/>
      <c r="J709" s="266">
        <v>1</v>
      </c>
      <c r="K709" s="323"/>
      <c r="M709" s="2"/>
      <c r="N709" s="2"/>
    </row>
    <row r="710" spans="1:14" ht="18" customHeight="1" x14ac:dyDescent="0.35">
      <c r="A710"/>
      <c r="B710" s="17"/>
      <c r="C710" s="164" t="s">
        <v>185</v>
      </c>
      <c r="D710" s="77"/>
      <c r="E710" s="201">
        <v>1</v>
      </c>
      <c r="F710" s="202"/>
      <c r="G710" s="202"/>
      <c r="H710" s="202"/>
      <c r="I710" s="239"/>
      <c r="J710" s="266">
        <v>1</v>
      </c>
      <c r="K710" s="323"/>
      <c r="M710" s="2"/>
      <c r="N710" s="2"/>
    </row>
    <row r="711" spans="1:14" ht="18" customHeight="1" x14ac:dyDescent="0.35">
      <c r="A711"/>
      <c r="B711" s="17"/>
      <c r="C711" s="164" t="s">
        <v>187</v>
      </c>
      <c r="D711" s="77"/>
      <c r="E711" s="201">
        <v>1</v>
      </c>
      <c r="F711" s="202"/>
      <c r="G711" s="202"/>
      <c r="H711" s="202"/>
      <c r="I711" s="239"/>
      <c r="J711" s="266">
        <v>1</v>
      </c>
      <c r="K711" s="323"/>
      <c r="M711" s="2"/>
      <c r="N711" s="2"/>
    </row>
    <row r="712" spans="1:14" ht="18" customHeight="1" x14ac:dyDescent="0.35">
      <c r="A712"/>
      <c r="B712" s="17"/>
      <c r="C712" s="164" t="s">
        <v>188</v>
      </c>
      <c r="D712" s="77"/>
      <c r="E712" s="201">
        <v>1</v>
      </c>
      <c r="F712" s="202"/>
      <c r="G712" s="202"/>
      <c r="H712" s="202"/>
      <c r="I712" s="239"/>
      <c r="J712" s="266">
        <v>1</v>
      </c>
      <c r="K712" s="323"/>
      <c r="M712" s="2"/>
      <c r="N712" s="2"/>
    </row>
    <row r="713" spans="1:14" ht="18" customHeight="1" x14ac:dyDescent="0.35">
      <c r="A713"/>
      <c r="B713" s="17"/>
      <c r="C713" s="164" t="s">
        <v>189</v>
      </c>
      <c r="D713" s="77"/>
      <c r="E713" s="201">
        <v>1</v>
      </c>
      <c r="F713" s="202"/>
      <c r="G713" s="202"/>
      <c r="H713" s="202"/>
      <c r="I713" s="239"/>
      <c r="J713" s="266">
        <v>1</v>
      </c>
      <c r="K713" s="323"/>
      <c r="M713" s="2"/>
      <c r="N713" s="2"/>
    </row>
    <row r="714" spans="1:14" ht="18" customHeight="1" x14ac:dyDescent="0.35">
      <c r="A714"/>
      <c r="B714" s="17"/>
      <c r="C714" s="164" t="s">
        <v>190</v>
      </c>
      <c r="D714" s="77"/>
      <c r="E714" s="201">
        <v>1</v>
      </c>
      <c r="F714" s="202"/>
      <c r="G714" s="202"/>
      <c r="H714" s="202"/>
      <c r="I714" s="239"/>
      <c r="J714" s="266">
        <v>1</v>
      </c>
      <c r="K714" s="323"/>
      <c r="M714" s="2"/>
      <c r="N714" s="2"/>
    </row>
    <row r="715" spans="1:14" ht="18" customHeight="1" x14ac:dyDescent="0.35">
      <c r="A715"/>
      <c r="B715" s="17"/>
      <c r="C715" s="165" t="s">
        <v>191</v>
      </c>
      <c r="D715" s="77"/>
      <c r="E715" s="201">
        <v>1</v>
      </c>
      <c r="F715" s="202"/>
      <c r="G715" s="202"/>
      <c r="H715" s="202"/>
      <c r="I715" s="239"/>
      <c r="J715" s="266">
        <v>1</v>
      </c>
      <c r="K715" s="323"/>
      <c r="M715" s="2"/>
      <c r="N715" s="2"/>
    </row>
    <row r="716" spans="1:14" ht="18" customHeight="1" x14ac:dyDescent="0.35">
      <c r="A716"/>
      <c r="B716" s="17"/>
      <c r="C716" s="165" t="s">
        <v>192</v>
      </c>
      <c r="D716" s="77"/>
      <c r="E716" s="201">
        <v>1</v>
      </c>
      <c r="F716" s="202"/>
      <c r="G716" s="202"/>
      <c r="H716" s="202"/>
      <c r="I716" s="239"/>
      <c r="J716" s="266">
        <v>1</v>
      </c>
      <c r="K716" s="323"/>
      <c r="M716" s="2"/>
      <c r="N716" s="2"/>
    </row>
    <row r="717" spans="1:14" ht="18" customHeight="1" x14ac:dyDescent="0.35">
      <c r="A717"/>
      <c r="B717" s="17"/>
      <c r="C717" s="165" t="s">
        <v>193</v>
      </c>
      <c r="D717" s="77"/>
      <c r="E717" s="201">
        <v>1</v>
      </c>
      <c r="F717" s="202"/>
      <c r="G717" s="202"/>
      <c r="H717" s="202"/>
      <c r="I717" s="239"/>
      <c r="J717" s="266">
        <v>1</v>
      </c>
      <c r="K717" s="323"/>
      <c r="M717" s="2"/>
      <c r="N717" s="2"/>
    </row>
    <row r="718" spans="1:14" ht="18" customHeight="1" x14ac:dyDescent="0.35">
      <c r="A718"/>
      <c r="B718" s="17"/>
      <c r="C718" s="165" t="s">
        <v>194</v>
      </c>
      <c r="D718" s="77"/>
      <c r="E718" s="201">
        <v>1</v>
      </c>
      <c r="F718" s="202"/>
      <c r="G718" s="202"/>
      <c r="H718" s="202"/>
      <c r="I718" s="239"/>
      <c r="J718" s="266">
        <v>1</v>
      </c>
      <c r="K718" s="323"/>
      <c r="M718" s="2"/>
      <c r="N718" s="2"/>
    </row>
    <row r="719" spans="1:14" ht="18" customHeight="1" x14ac:dyDescent="0.35">
      <c r="A719"/>
      <c r="B719" s="17"/>
      <c r="C719" s="165" t="s">
        <v>195</v>
      </c>
      <c r="D719" s="77"/>
      <c r="E719" s="201">
        <v>1</v>
      </c>
      <c r="F719" s="202"/>
      <c r="G719" s="202"/>
      <c r="H719" s="202"/>
      <c r="I719" s="239"/>
      <c r="J719" s="266">
        <v>1</v>
      </c>
      <c r="K719" s="323"/>
      <c r="M719" s="2"/>
      <c r="N719" s="2"/>
    </row>
    <row r="720" spans="1:14" ht="18" customHeight="1" x14ac:dyDescent="0.35">
      <c r="A720"/>
      <c r="B720" s="17"/>
      <c r="C720" s="165" t="s">
        <v>196</v>
      </c>
      <c r="D720" s="77"/>
      <c r="E720" s="201">
        <v>1</v>
      </c>
      <c r="F720" s="202"/>
      <c r="G720" s="202"/>
      <c r="H720" s="202"/>
      <c r="I720" s="239"/>
      <c r="J720" s="266">
        <v>1</v>
      </c>
      <c r="K720" s="323"/>
      <c r="M720" s="2"/>
      <c r="N720" s="2"/>
    </row>
    <row r="721" spans="1:14" ht="18" customHeight="1" x14ac:dyDescent="0.35">
      <c r="A721"/>
      <c r="B721" s="17"/>
      <c r="C721" s="165" t="s">
        <v>197</v>
      </c>
      <c r="D721" s="77"/>
      <c r="E721" s="201">
        <v>1</v>
      </c>
      <c r="F721" s="202"/>
      <c r="G721" s="202"/>
      <c r="H721" s="202"/>
      <c r="I721" s="239"/>
      <c r="J721" s="266">
        <v>1</v>
      </c>
      <c r="K721" s="323"/>
      <c r="M721" s="2"/>
      <c r="N721" s="2"/>
    </row>
    <row r="722" spans="1:14" ht="18" customHeight="1" x14ac:dyDescent="0.35">
      <c r="A722"/>
      <c r="B722" s="17"/>
      <c r="C722" s="115" t="s">
        <v>544</v>
      </c>
      <c r="D722" s="77"/>
      <c r="E722" s="201">
        <v>1</v>
      </c>
      <c r="F722" s="202"/>
      <c r="G722" s="202"/>
      <c r="H722" s="202"/>
      <c r="I722" s="239"/>
      <c r="J722" s="266">
        <v>1</v>
      </c>
      <c r="K722" s="323"/>
      <c r="M722" s="2"/>
      <c r="N722" s="2"/>
    </row>
    <row r="723" spans="1:14" ht="198.75" customHeight="1" x14ac:dyDescent="0.35">
      <c r="A723"/>
      <c r="B723" s="17"/>
      <c r="C723" s="164" t="s">
        <v>545</v>
      </c>
      <c r="D723" s="77"/>
      <c r="E723" s="201">
        <v>1</v>
      </c>
      <c r="F723" s="202"/>
      <c r="G723" s="202"/>
      <c r="H723" s="202"/>
      <c r="I723" s="239"/>
      <c r="J723" s="266">
        <v>1</v>
      </c>
      <c r="K723" s="324" t="s">
        <v>546</v>
      </c>
      <c r="M723" s="2"/>
      <c r="N723" s="2"/>
    </row>
    <row r="724" spans="1:14" ht="18" customHeight="1" x14ac:dyDescent="0.35">
      <c r="A724"/>
      <c r="B724" s="17"/>
      <c r="C724" s="164" t="s">
        <v>199</v>
      </c>
      <c r="D724" s="77"/>
      <c r="E724" s="201">
        <v>1</v>
      </c>
      <c r="F724" s="202"/>
      <c r="G724" s="202"/>
      <c r="H724" s="202"/>
      <c r="I724" s="239"/>
      <c r="J724" s="266">
        <v>1</v>
      </c>
      <c r="K724" s="323"/>
      <c r="M724" s="2"/>
      <c r="N724" s="2"/>
    </row>
    <row r="725" spans="1:14" ht="18" customHeight="1" x14ac:dyDescent="0.35">
      <c r="A725"/>
      <c r="B725" s="17"/>
      <c r="C725" s="164" t="s">
        <v>200</v>
      </c>
      <c r="D725" s="77"/>
      <c r="E725" s="201">
        <v>1</v>
      </c>
      <c r="F725" s="202"/>
      <c r="G725" s="202"/>
      <c r="H725" s="202"/>
      <c r="I725" s="239"/>
      <c r="J725" s="266">
        <v>1</v>
      </c>
      <c r="K725" s="323"/>
      <c r="M725" s="2"/>
      <c r="N725" s="2"/>
    </row>
    <row r="726" spans="1:14" ht="18" customHeight="1" x14ac:dyDescent="0.35">
      <c r="A726"/>
      <c r="B726" s="17"/>
      <c r="C726" s="164" t="s">
        <v>201</v>
      </c>
      <c r="D726" s="77"/>
      <c r="E726" s="201">
        <v>1</v>
      </c>
      <c r="F726" s="202"/>
      <c r="G726" s="202"/>
      <c r="H726" s="202"/>
      <c r="I726" s="239"/>
      <c r="J726" s="266">
        <v>1</v>
      </c>
      <c r="K726" s="323"/>
      <c r="M726" s="2"/>
      <c r="N726" s="2"/>
    </row>
    <row r="727" spans="1:14" ht="18" customHeight="1" x14ac:dyDescent="0.35">
      <c r="A727"/>
      <c r="B727" s="17"/>
      <c r="C727" s="164" t="s">
        <v>202</v>
      </c>
      <c r="D727" s="77"/>
      <c r="E727" s="201">
        <v>1</v>
      </c>
      <c r="F727" s="202"/>
      <c r="G727" s="202"/>
      <c r="H727" s="202"/>
      <c r="I727" s="239"/>
      <c r="J727" s="266">
        <v>1</v>
      </c>
      <c r="K727" s="323"/>
      <c r="M727" s="2"/>
      <c r="N727" s="2"/>
    </row>
    <row r="728" spans="1:14" ht="18" customHeight="1" x14ac:dyDescent="0.35">
      <c r="A728"/>
      <c r="B728" s="17"/>
      <c r="C728" s="164" t="s">
        <v>203</v>
      </c>
      <c r="D728" s="77"/>
      <c r="E728" s="201">
        <v>1</v>
      </c>
      <c r="F728" s="202"/>
      <c r="G728" s="202"/>
      <c r="H728" s="202"/>
      <c r="I728" s="239"/>
      <c r="J728" s="266">
        <v>1</v>
      </c>
      <c r="K728" s="323"/>
      <c r="M728" s="2"/>
      <c r="N728" s="2"/>
    </row>
    <row r="729" spans="1:14" ht="18" customHeight="1" x14ac:dyDescent="0.35">
      <c r="A729"/>
      <c r="B729" s="17"/>
      <c r="C729" s="164" t="s">
        <v>204</v>
      </c>
      <c r="D729" s="77"/>
      <c r="E729" s="201">
        <v>1</v>
      </c>
      <c r="F729" s="202"/>
      <c r="G729" s="202"/>
      <c r="H729" s="202"/>
      <c r="I729" s="239"/>
      <c r="J729" s="276">
        <v>1</v>
      </c>
      <c r="K729" s="323"/>
      <c r="M729" s="2"/>
      <c r="N729" s="2"/>
    </row>
    <row r="730" spans="1:14" ht="18" customHeight="1" x14ac:dyDescent="0.35">
      <c r="A730"/>
      <c r="B730" s="17"/>
      <c r="C730" s="164" t="s">
        <v>205</v>
      </c>
      <c r="D730" s="77"/>
      <c r="E730" s="201">
        <v>1</v>
      </c>
      <c r="F730" s="202"/>
      <c r="G730" s="202"/>
      <c r="H730" s="202"/>
      <c r="I730" s="203"/>
      <c r="J730" s="271">
        <v>1</v>
      </c>
      <c r="K730" s="327"/>
      <c r="M730" s="2"/>
      <c r="N730" s="2"/>
    </row>
    <row r="731" spans="1:14" ht="18" customHeight="1" x14ac:dyDescent="0.35">
      <c r="A731"/>
      <c r="B731" s="17"/>
      <c r="C731" s="164" t="s">
        <v>206</v>
      </c>
      <c r="D731" s="77"/>
      <c r="E731" s="201">
        <v>1</v>
      </c>
      <c r="F731" s="202"/>
      <c r="G731" s="202"/>
      <c r="H731" s="202"/>
      <c r="I731" s="203"/>
      <c r="J731" s="272">
        <v>1</v>
      </c>
      <c r="K731" s="327"/>
      <c r="M731" s="2"/>
      <c r="N731" s="2"/>
    </row>
    <row r="732" spans="1:14" ht="18" customHeight="1" x14ac:dyDescent="0.35">
      <c r="A732"/>
      <c r="B732" s="17"/>
      <c r="C732" s="164" t="s">
        <v>208</v>
      </c>
      <c r="D732" s="77"/>
      <c r="E732" s="201">
        <v>1</v>
      </c>
      <c r="F732" s="202"/>
      <c r="G732" s="202"/>
      <c r="H732" s="202"/>
      <c r="I732" s="203"/>
      <c r="J732" s="272">
        <v>1</v>
      </c>
      <c r="K732" s="327"/>
      <c r="M732" s="2"/>
      <c r="N732" s="2"/>
    </row>
    <row r="733" spans="1:14" ht="18" customHeight="1" x14ac:dyDescent="0.35">
      <c r="A733"/>
      <c r="B733" s="17"/>
      <c r="C733" s="164" t="s">
        <v>547</v>
      </c>
      <c r="D733" s="77"/>
      <c r="E733" s="201">
        <v>1</v>
      </c>
      <c r="F733" s="202"/>
      <c r="G733" s="202"/>
      <c r="H733" s="202"/>
      <c r="I733" s="203"/>
      <c r="J733" s="272">
        <v>1</v>
      </c>
      <c r="K733" s="327"/>
      <c r="M733" s="2"/>
      <c r="N733" s="2"/>
    </row>
    <row r="734" spans="1:14" ht="18" customHeight="1" x14ac:dyDescent="0.35">
      <c r="A734"/>
      <c r="B734" s="17"/>
      <c r="C734" s="115" t="s">
        <v>548</v>
      </c>
      <c r="D734" s="77"/>
      <c r="E734" s="201">
        <v>1</v>
      </c>
      <c r="F734" s="202"/>
      <c r="G734" s="202"/>
      <c r="H734" s="202"/>
      <c r="I734" s="203"/>
      <c r="J734" s="272">
        <v>1</v>
      </c>
      <c r="K734" s="327"/>
      <c r="M734" s="2"/>
      <c r="N734" s="2"/>
    </row>
    <row r="735" spans="1:14" ht="18" customHeight="1" x14ac:dyDescent="0.35">
      <c r="A735"/>
      <c r="B735" s="17"/>
      <c r="C735" s="115" t="s">
        <v>549</v>
      </c>
      <c r="D735" s="77"/>
      <c r="E735" s="201">
        <v>1</v>
      </c>
      <c r="F735" s="202"/>
      <c r="G735" s="202"/>
      <c r="H735" s="202"/>
      <c r="I735" s="203"/>
      <c r="J735" s="272">
        <v>1</v>
      </c>
      <c r="K735" s="327"/>
      <c r="M735" s="2"/>
      <c r="N735" s="2"/>
    </row>
    <row r="736" spans="1:14" ht="18" customHeight="1" x14ac:dyDescent="0.35">
      <c r="A736"/>
      <c r="B736" s="17"/>
      <c r="C736" s="115" t="s">
        <v>550</v>
      </c>
      <c r="D736" s="77"/>
      <c r="E736" s="201"/>
      <c r="F736" s="202">
        <v>1</v>
      </c>
      <c r="G736" s="202"/>
      <c r="H736" s="202"/>
      <c r="I736" s="203"/>
      <c r="J736" s="272">
        <v>1</v>
      </c>
      <c r="K736" s="327"/>
      <c r="M736" s="2"/>
      <c r="N736" s="2"/>
    </row>
    <row r="737" spans="1:14" ht="18" customHeight="1" x14ac:dyDescent="0.35">
      <c r="A737"/>
      <c r="B737" s="17"/>
      <c r="C737" s="115" t="s">
        <v>214</v>
      </c>
      <c r="D737" s="77"/>
      <c r="E737" s="201">
        <v>1</v>
      </c>
      <c r="F737" s="202"/>
      <c r="G737" s="202"/>
      <c r="H737" s="202"/>
      <c r="I737" s="203"/>
      <c r="J737" s="272">
        <v>1</v>
      </c>
      <c r="K737" s="327"/>
      <c r="M737" s="2"/>
      <c r="N737" s="2"/>
    </row>
    <row r="738" spans="1:14" ht="18" customHeight="1" x14ac:dyDescent="0.35">
      <c r="A738"/>
      <c r="B738" s="17"/>
      <c r="C738" s="164" t="s">
        <v>215</v>
      </c>
      <c r="D738" s="77"/>
      <c r="E738" s="201">
        <v>1</v>
      </c>
      <c r="F738" s="202"/>
      <c r="G738" s="202"/>
      <c r="H738" s="202"/>
      <c r="I738" s="203"/>
      <c r="J738" s="272">
        <v>1</v>
      </c>
      <c r="K738" s="327"/>
      <c r="M738" s="2"/>
      <c r="N738" s="2"/>
    </row>
    <row r="739" spans="1:14" ht="18" customHeight="1" x14ac:dyDescent="0.35">
      <c r="A739"/>
      <c r="B739" s="17"/>
      <c r="C739" s="164" t="s">
        <v>216</v>
      </c>
      <c r="D739" s="77"/>
      <c r="E739" s="201">
        <v>1</v>
      </c>
      <c r="F739" s="202"/>
      <c r="G739" s="202"/>
      <c r="H739" s="202"/>
      <c r="I739" s="203"/>
      <c r="J739" s="272">
        <v>1</v>
      </c>
      <c r="K739" s="327"/>
      <c r="M739" s="2"/>
      <c r="N739" s="2"/>
    </row>
    <row r="740" spans="1:14" ht="18" customHeight="1" x14ac:dyDescent="0.35">
      <c r="A740"/>
      <c r="B740" s="17"/>
      <c r="C740" s="115" t="s">
        <v>551</v>
      </c>
      <c r="D740" s="77"/>
      <c r="E740" s="201">
        <v>1</v>
      </c>
      <c r="F740" s="202"/>
      <c r="G740" s="202"/>
      <c r="H740" s="202"/>
      <c r="I740" s="203"/>
      <c r="J740" s="272">
        <v>1</v>
      </c>
      <c r="K740" s="327"/>
      <c r="M740" s="2"/>
      <c r="N740" s="2"/>
    </row>
    <row r="741" spans="1:14" ht="18" customHeight="1" x14ac:dyDescent="0.35">
      <c r="A741"/>
      <c r="B741" s="17"/>
      <c r="C741" s="115" t="s">
        <v>552</v>
      </c>
      <c r="D741" s="77"/>
      <c r="E741" s="201"/>
      <c r="F741" s="202">
        <v>1</v>
      </c>
      <c r="G741" s="202"/>
      <c r="H741" s="202"/>
      <c r="I741" s="203"/>
      <c r="J741" s="272">
        <v>1</v>
      </c>
      <c r="K741" s="327"/>
      <c r="M741" s="2"/>
      <c r="N741" s="2"/>
    </row>
    <row r="742" spans="1:14" ht="18" customHeight="1" x14ac:dyDescent="0.35">
      <c r="A742"/>
      <c r="B742" s="17"/>
      <c r="C742" s="164" t="s">
        <v>219</v>
      </c>
      <c r="D742" s="77"/>
      <c r="E742" s="201"/>
      <c r="F742" s="202">
        <v>1</v>
      </c>
      <c r="G742" s="202"/>
      <c r="H742" s="202"/>
      <c r="I742" s="203"/>
      <c r="J742" s="272">
        <v>1</v>
      </c>
      <c r="K742" s="327"/>
      <c r="M742" s="2"/>
      <c r="N742" s="2"/>
    </row>
    <row r="743" spans="1:14" ht="18" customHeight="1" x14ac:dyDescent="0.35">
      <c r="A743"/>
      <c r="B743" s="17"/>
      <c r="C743" s="115" t="s">
        <v>553</v>
      </c>
      <c r="D743" s="77"/>
      <c r="E743" s="201">
        <v>1</v>
      </c>
      <c r="F743" s="202"/>
      <c r="G743" s="202"/>
      <c r="H743" s="202"/>
      <c r="I743" s="203"/>
      <c r="J743" s="272">
        <v>1</v>
      </c>
      <c r="K743" s="327"/>
      <c r="M743" s="2"/>
      <c r="N743" s="2"/>
    </row>
    <row r="744" spans="1:14" ht="18" customHeight="1" x14ac:dyDescent="0.35">
      <c r="A744"/>
      <c r="B744" s="17"/>
      <c r="C744" s="115" t="s">
        <v>554</v>
      </c>
      <c r="D744" s="77"/>
      <c r="E744" s="201">
        <v>1</v>
      </c>
      <c r="F744" s="202"/>
      <c r="G744" s="202"/>
      <c r="H744" s="202"/>
      <c r="I744" s="203"/>
      <c r="J744" s="272">
        <v>1</v>
      </c>
      <c r="K744" s="327"/>
      <c r="M744" s="2"/>
      <c r="N744" s="2"/>
    </row>
    <row r="745" spans="1:14" ht="18" customHeight="1" x14ac:dyDescent="0.35">
      <c r="A745"/>
      <c r="B745" s="17"/>
      <c r="C745" s="115" t="s">
        <v>222</v>
      </c>
      <c r="D745" s="77"/>
      <c r="E745" s="201">
        <v>1</v>
      </c>
      <c r="F745" s="202"/>
      <c r="G745" s="202"/>
      <c r="H745" s="202"/>
      <c r="I745" s="203"/>
      <c r="J745" s="272">
        <v>1</v>
      </c>
      <c r="K745" s="327"/>
      <c r="M745" s="2"/>
      <c r="N745" s="2"/>
    </row>
    <row r="746" spans="1:14" ht="18" customHeight="1" x14ac:dyDescent="0.35">
      <c r="A746"/>
      <c r="B746" s="17"/>
      <c r="C746" s="115" t="s">
        <v>555</v>
      </c>
      <c r="D746" s="77"/>
      <c r="E746" s="201">
        <v>1</v>
      </c>
      <c r="F746" s="202"/>
      <c r="G746" s="202"/>
      <c r="H746" s="202"/>
      <c r="I746" s="203"/>
      <c r="J746" s="272">
        <v>1</v>
      </c>
      <c r="K746" s="327"/>
      <c r="M746" s="2"/>
      <c r="N746" s="2"/>
    </row>
    <row r="747" spans="1:14" ht="31" x14ac:dyDescent="0.35">
      <c r="A747"/>
      <c r="B747" s="17"/>
      <c r="C747" s="116" t="s">
        <v>556</v>
      </c>
      <c r="D747" s="77"/>
      <c r="E747" s="201">
        <v>1</v>
      </c>
      <c r="F747" s="202"/>
      <c r="G747" s="202"/>
      <c r="H747" s="202"/>
      <c r="I747" s="203"/>
      <c r="J747" s="272">
        <v>1</v>
      </c>
      <c r="K747" s="327"/>
      <c r="M747" s="2"/>
      <c r="N747" s="2"/>
    </row>
    <row r="748" spans="1:14" ht="18" customHeight="1" x14ac:dyDescent="0.35">
      <c r="A748"/>
      <c r="B748" s="17"/>
      <c r="C748" s="115" t="s">
        <v>557</v>
      </c>
      <c r="D748" s="77"/>
      <c r="E748" s="201">
        <v>1</v>
      </c>
      <c r="F748" s="202"/>
      <c r="G748" s="202"/>
      <c r="H748" s="202"/>
      <c r="I748" s="203"/>
      <c r="J748" s="272">
        <v>1</v>
      </c>
      <c r="K748" s="327"/>
      <c r="M748" s="2"/>
      <c r="N748" s="2"/>
    </row>
    <row r="749" spans="1:14" ht="18" customHeight="1" x14ac:dyDescent="0.35">
      <c r="A749"/>
      <c r="B749" s="17"/>
      <c r="C749" s="115" t="s">
        <v>558</v>
      </c>
      <c r="D749" s="77"/>
      <c r="E749" s="201">
        <v>1</v>
      </c>
      <c r="F749" s="202"/>
      <c r="G749" s="202"/>
      <c r="H749" s="202"/>
      <c r="I749" s="239"/>
      <c r="J749" s="304">
        <v>1</v>
      </c>
      <c r="K749" s="327"/>
      <c r="M749" s="2"/>
      <c r="N749" s="2"/>
    </row>
    <row r="750" spans="1:14" ht="18" customHeight="1" x14ac:dyDescent="0.35">
      <c r="A750"/>
      <c r="B750" s="17"/>
      <c r="C750" s="115" t="s">
        <v>223</v>
      </c>
      <c r="D750" s="77"/>
      <c r="E750" s="201">
        <v>1</v>
      </c>
      <c r="F750" s="202"/>
      <c r="G750" s="202"/>
      <c r="H750" s="202"/>
      <c r="I750" s="239"/>
      <c r="J750" s="305">
        <v>1</v>
      </c>
      <c r="K750" s="323"/>
      <c r="M750" s="2"/>
      <c r="N750" s="2"/>
    </row>
    <row r="751" spans="1:14" ht="18" customHeight="1" x14ac:dyDescent="0.35">
      <c r="A751"/>
      <c r="B751" s="17"/>
      <c r="C751" s="115" t="s">
        <v>559</v>
      </c>
      <c r="D751" s="77"/>
      <c r="E751" s="201">
        <v>1</v>
      </c>
      <c r="F751" s="202"/>
      <c r="G751" s="202"/>
      <c r="H751" s="202"/>
      <c r="I751" s="239"/>
      <c r="J751" s="266">
        <v>1</v>
      </c>
      <c r="K751" s="323"/>
      <c r="M751" s="2"/>
      <c r="N751" s="2"/>
    </row>
    <row r="752" spans="1:14" ht="18" customHeight="1" x14ac:dyDescent="0.35">
      <c r="A752"/>
      <c r="B752" s="17"/>
      <c r="C752" s="115" t="s">
        <v>560</v>
      </c>
      <c r="D752" s="77"/>
      <c r="E752" s="201">
        <v>1</v>
      </c>
      <c r="F752" s="202"/>
      <c r="G752" s="202"/>
      <c r="H752" s="202"/>
      <c r="I752" s="239"/>
      <c r="J752" s="266">
        <v>1</v>
      </c>
      <c r="K752" s="323"/>
      <c r="M752" s="2"/>
      <c r="N752" s="2"/>
    </row>
    <row r="753" spans="1:14" ht="18" customHeight="1" x14ac:dyDescent="0.35">
      <c r="A753"/>
      <c r="B753" s="17"/>
      <c r="C753" s="164" t="s">
        <v>561</v>
      </c>
      <c r="D753" s="77"/>
      <c r="E753" s="201">
        <v>1</v>
      </c>
      <c r="F753" s="202"/>
      <c r="G753" s="202"/>
      <c r="H753" s="202"/>
      <c r="I753" s="239"/>
      <c r="J753" s="266">
        <v>1</v>
      </c>
      <c r="K753" s="323"/>
      <c r="M753" s="2"/>
      <c r="N753" s="2"/>
    </row>
    <row r="754" spans="1:14" ht="18" customHeight="1" x14ac:dyDescent="0.35">
      <c r="A754"/>
      <c r="B754" s="17"/>
      <c r="C754" s="164" t="s">
        <v>562</v>
      </c>
      <c r="D754" s="77"/>
      <c r="E754" s="201">
        <v>1</v>
      </c>
      <c r="F754" s="202"/>
      <c r="G754" s="202"/>
      <c r="H754" s="202"/>
      <c r="I754" s="239"/>
      <c r="J754" s="266">
        <v>1</v>
      </c>
      <c r="K754" s="323"/>
      <c r="M754" s="2"/>
      <c r="N754" s="2"/>
    </row>
    <row r="755" spans="1:14" ht="18" customHeight="1" x14ac:dyDescent="0.35">
      <c r="A755"/>
      <c r="B755" s="17"/>
      <c r="C755" s="165" t="s">
        <v>563</v>
      </c>
      <c r="D755" s="77"/>
      <c r="E755" s="201">
        <v>1</v>
      </c>
      <c r="F755" s="202"/>
      <c r="G755" s="202"/>
      <c r="H755" s="202"/>
      <c r="I755" s="239"/>
      <c r="J755" s="266">
        <v>1</v>
      </c>
      <c r="K755" s="323"/>
      <c r="M755" s="2"/>
      <c r="N755" s="2"/>
    </row>
    <row r="756" spans="1:14" ht="18" customHeight="1" x14ac:dyDescent="0.35">
      <c r="A756"/>
      <c r="B756" s="17"/>
      <c r="C756" s="165" t="s">
        <v>564</v>
      </c>
      <c r="D756" s="77"/>
      <c r="E756" s="201">
        <v>1</v>
      </c>
      <c r="F756" s="202"/>
      <c r="G756" s="202"/>
      <c r="H756" s="202"/>
      <c r="I756" s="239"/>
      <c r="J756" s="266">
        <v>1</v>
      </c>
      <c r="K756" s="326"/>
      <c r="M756" s="2"/>
      <c r="N756" s="2"/>
    </row>
    <row r="757" spans="1:14" ht="84.75" customHeight="1" x14ac:dyDescent="0.35">
      <c r="A757"/>
      <c r="B757" s="17"/>
      <c r="C757" s="165" t="s">
        <v>565</v>
      </c>
      <c r="D757" s="77"/>
      <c r="E757" s="201">
        <v>1</v>
      </c>
      <c r="F757" s="202"/>
      <c r="G757" s="202"/>
      <c r="H757" s="202"/>
      <c r="I757" s="239"/>
      <c r="J757" s="266">
        <v>1</v>
      </c>
      <c r="K757" s="324" t="s">
        <v>566</v>
      </c>
      <c r="M757" s="2"/>
      <c r="N757" s="2"/>
    </row>
    <row r="758" spans="1:14" ht="81.75" customHeight="1" x14ac:dyDescent="0.35">
      <c r="A758"/>
      <c r="B758" s="17"/>
      <c r="C758" s="165" t="s">
        <v>567</v>
      </c>
      <c r="D758" s="77"/>
      <c r="E758" s="201">
        <v>1</v>
      </c>
      <c r="F758" s="202"/>
      <c r="G758" s="202"/>
      <c r="H758" s="202"/>
      <c r="I758" s="239"/>
      <c r="J758" s="266">
        <v>1</v>
      </c>
      <c r="K758" s="324" t="s">
        <v>568</v>
      </c>
      <c r="M758" s="2"/>
      <c r="N758" s="2"/>
    </row>
    <row r="759" spans="1:14" ht="93" customHeight="1" x14ac:dyDescent="0.35">
      <c r="A759"/>
      <c r="B759" s="17"/>
      <c r="C759" s="165" t="s">
        <v>569</v>
      </c>
      <c r="D759" s="77"/>
      <c r="E759" s="201">
        <v>1</v>
      </c>
      <c r="F759" s="202"/>
      <c r="G759" s="202"/>
      <c r="H759" s="202"/>
      <c r="I759" s="239"/>
      <c r="J759" s="266">
        <v>1</v>
      </c>
      <c r="K759" s="324" t="s">
        <v>570</v>
      </c>
      <c r="M759" s="2"/>
      <c r="N759" s="2"/>
    </row>
    <row r="760" spans="1:14" ht="18" customHeight="1" x14ac:dyDescent="0.35">
      <c r="A760"/>
      <c r="B760" s="17"/>
      <c r="C760" s="115" t="s">
        <v>571</v>
      </c>
      <c r="D760" s="77"/>
      <c r="E760" s="201">
        <v>1</v>
      </c>
      <c r="F760" s="202"/>
      <c r="G760" s="202"/>
      <c r="H760" s="202"/>
      <c r="I760" s="239"/>
      <c r="J760" s="266">
        <v>1</v>
      </c>
      <c r="K760" s="323"/>
      <c r="M760" s="2"/>
      <c r="N760" s="2"/>
    </row>
    <row r="761" spans="1:14" ht="18" customHeight="1" x14ac:dyDescent="0.35">
      <c r="A761"/>
      <c r="B761" s="17"/>
      <c r="C761" s="115" t="s">
        <v>572</v>
      </c>
      <c r="D761" s="77"/>
      <c r="E761" s="201">
        <v>1</v>
      </c>
      <c r="F761" s="202"/>
      <c r="G761" s="202"/>
      <c r="H761" s="202"/>
      <c r="I761" s="239"/>
      <c r="J761" s="266">
        <v>1</v>
      </c>
      <c r="K761" s="323"/>
      <c r="M761" s="2"/>
      <c r="N761" s="2"/>
    </row>
    <row r="762" spans="1:14" ht="18" customHeight="1" x14ac:dyDescent="0.35">
      <c r="A762"/>
      <c r="B762" s="17"/>
      <c r="C762" s="115" t="s">
        <v>573</v>
      </c>
      <c r="D762" s="77"/>
      <c r="E762" s="201">
        <v>1</v>
      </c>
      <c r="F762" s="202"/>
      <c r="G762" s="202"/>
      <c r="H762" s="202"/>
      <c r="I762" s="239"/>
      <c r="J762" s="266">
        <v>1</v>
      </c>
      <c r="K762" s="323"/>
      <c r="M762" s="2"/>
      <c r="N762" s="2"/>
    </row>
    <row r="763" spans="1:14" ht="31.5" customHeight="1" x14ac:dyDescent="0.35">
      <c r="A763"/>
      <c r="B763" s="17"/>
      <c r="C763" s="115" t="s">
        <v>574</v>
      </c>
      <c r="D763" s="77"/>
      <c r="E763" s="201"/>
      <c r="F763" s="202">
        <v>1</v>
      </c>
      <c r="G763" s="202"/>
      <c r="H763" s="202"/>
      <c r="I763" s="251"/>
      <c r="J763" s="266">
        <v>1</v>
      </c>
      <c r="K763" s="326"/>
      <c r="M763" s="2"/>
      <c r="N763" s="2"/>
    </row>
    <row r="764" spans="1:14" ht="31" x14ac:dyDescent="0.35">
      <c r="A764"/>
      <c r="B764" s="17"/>
      <c r="C764" s="116" t="s">
        <v>225</v>
      </c>
      <c r="D764" s="77"/>
      <c r="E764" s="201">
        <v>1</v>
      </c>
      <c r="F764" s="202"/>
      <c r="G764" s="202"/>
      <c r="H764" s="203"/>
      <c r="I764" s="247"/>
      <c r="J764" s="266">
        <v>1</v>
      </c>
      <c r="K764" s="323"/>
      <c r="M764" s="2"/>
      <c r="N764" s="2"/>
    </row>
    <row r="765" spans="1:14" ht="18" customHeight="1" x14ac:dyDescent="0.35">
      <c r="A765"/>
      <c r="B765" s="17"/>
      <c r="C765" s="115" t="s">
        <v>227</v>
      </c>
      <c r="D765" s="77"/>
      <c r="E765" s="201">
        <v>1</v>
      </c>
      <c r="F765" s="202"/>
      <c r="G765" s="202"/>
      <c r="H765" s="203"/>
      <c r="I765" s="248"/>
      <c r="J765" s="266">
        <v>1</v>
      </c>
      <c r="K765" s="323"/>
      <c r="M765" s="2"/>
      <c r="N765" s="2"/>
    </row>
    <row r="766" spans="1:14" ht="18" customHeight="1" x14ac:dyDescent="0.35">
      <c r="A766"/>
      <c r="B766" s="17"/>
      <c r="C766" s="115" t="s">
        <v>575</v>
      </c>
      <c r="D766" s="77"/>
      <c r="E766" s="201">
        <v>1</v>
      </c>
      <c r="F766" s="202"/>
      <c r="G766" s="202"/>
      <c r="H766" s="203"/>
      <c r="I766" s="248"/>
      <c r="J766" s="266">
        <v>1</v>
      </c>
      <c r="K766" s="323"/>
      <c r="M766" s="2"/>
      <c r="N766" s="2"/>
    </row>
    <row r="767" spans="1:14" ht="18" customHeight="1" x14ac:dyDescent="0.35">
      <c r="A767"/>
      <c r="B767" s="17"/>
      <c r="C767" s="115" t="s">
        <v>228</v>
      </c>
      <c r="D767" s="77"/>
      <c r="E767" s="201">
        <v>1</v>
      </c>
      <c r="F767" s="202"/>
      <c r="G767" s="202"/>
      <c r="H767" s="203"/>
      <c r="I767" s="248"/>
      <c r="J767" s="266">
        <v>1</v>
      </c>
      <c r="K767" s="323"/>
      <c r="M767" s="2"/>
      <c r="N767" s="2"/>
    </row>
    <row r="768" spans="1:14" ht="18" customHeight="1" x14ac:dyDescent="0.35">
      <c r="A768"/>
      <c r="B768" s="17"/>
      <c r="C768" s="115" t="s">
        <v>576</v>
      </c>
      <c r="D768" s="77"/>
      <c r="E768" s="201">
        <v>1</v>
      </c>
      <c r="F768" s="202"/>
      <c r="G768" s="202"/>
      <c r="H768" s="203"/>
      <c r="I768" s="248"/>
      <c r="J768" s="266">
        <v>1</v>
      </c>
      <c r="K768" s="323"/>
      <c r="M768" s="2"/>
      <c r="N768" s="2"/>
    </row>
    <row r="769" spans="1:14" ht="18" customHeight="1" x14ac:dyDescent="0.35">
      <c r="A769"/>
      <c r="B769" s="17"/>
      <c r="C769" s="115" t="s">
        <v>577</v>
      </c>
      <c r="D769" s="77"/>
      <c r="E769" s="201">
        <v>1</v>
      </c>
      <c r="F769" s="202"/>
      <c r="G769" s="202"/>
      <c r="H769" s="203"/>
      <c r="I769" s="248"/>
      <c r="J769" s="266">
        <v>1</v>
      </c>
      <c r="K769" s="323"/>
      <c r="M769" s="2"/>
      <c r="N769" s="2"/>
    </row>
    <row r="770" spans="1:14" ht="18" customHeight="1" x14ac:dyDescent="0.35">
      <c r="A770"/>
      <c r="B770" s="17"/>
      <c r="C770" s="115" t="s">
        <v>578</v>
      </c>
      <c r="D770" s="77"/>
      <c r="E770" s="201">
        <v>1</v>
      </c>
      <c r="F770" s="202"/>
      <c r="G770" s="202"/>
      <c r="H770" s="203"/>
      <c r="I770" s="248"/>
      <c r="J770" s="266">
        <v>1</v>
      </c>
      <c r="K770" s="323"/>
      <c r="M770" s="2"/>
      <c r="N770" s="2"/>
    </row>
    <row r="771" spans="1:14" ht="18" customHeight="1" x14ac:dyDescent="0.35">
      <c r="A771"/>
      <c r="B771" s="17"/>
      <c r="C771" s="115" t="s">
        <v>233</v>
      </c>
      <c r="D771" s="77"/>
      <c r="E771" s="201">
        <v>1</v>
      </c>
      <c r="F771" s="202"/>
      <c r="G771" s="202"/>
      <c r="H771" s="203"/>
      <c r="I771" s="248"/>
      <c r="J771" s="266">
        <v>1</v>
      </c>
      <c r="K771" s="323"/>
      <c r="M771" s="2"/>
      <c r="N771" s="2"/>
    </row>
    <row r="772" spans="1:14" ht="18" customHeight="1" x14ac:dyDescent="0.35">
      <c r="A772"/>
      <c r="B772" s="17"/>
      <c r="C772" s="115" t="s">
        <v>579</v>
      </c>
      <c r="D772" s="77"/>
      <c r="E772" s="201">
        <v>1</v>
      </c>
      <c r="F772" s="202"/>
      <c r="G772" s="202"/>
      <c r="H772" s="203"/>
      <c r="I772" s="248"/>
      <c r="J772" s="266">
        <v>1</v>
      </c>
      <c r="K772" s="323"/>
      <c r="M772" s="2"/>
      <c r="N772" s="2"/>
    </row>
    <row r="773" spans="1:14" ht="18" customHeight="1" x14ac:dyDescent="0.35">
      <c r="A773"/>
      <c r="B773" s="17"/>
      <c r="C773" s="115" t="s">
        <v>580</v>
      </c>
      <c r="D773" s="77"/>
      <c r="E773" s="201">
        <v>1</v>
      </c>
      <c r="F773" s="202"/>
      <c r="G773" s="202"/>
      <c r="H773" s="203"/>
      <c r="I773" s="248"/>
      <c r="J773" s="266">
        <v>1</v>
      </c>
      <c r="K773" s="323"/>
      <c r="M773" s="2"/>
      <c r="N773" s="2"/>
    </row>
    <row r="774" spans="1:14" ht="18" customHeight="1" x14ac:dyDescent="0.35">
      <c r="A774"/>
      <c r="B774" s="17"/>
      <c r="C774" s="115" t="s">
        <v>581</v>
      </c>
      <c r="D774" s="77"/>
      <c r="E774" s="201">
        <v>1</v>
      </c>
      <c r="F774" s="202"/>
      <c r="G774" s="202"/>
      <c r="H774" s="203"/>
      <c r="I774" s="248"/>
      <c r="J774" s="266">
        <v>1</v>
      </c>
      <c r="K774" s="323"/>
      <c r="M774" s="2"/>
      <c r="N774" s="2"/>
    </row>
    <row r="775" spans="1:14" ht="18" customHeight="1" x14ac:dyDescent="0.35">
      <c r="A775"/>
      <c r="B775" s="17"/>
      <c r="C775" s="115" t="s">
        <v>582</v>
      </c>
      <c r="D775" s="77"/>
      <c r="E775" s="201">
        <v>1</v>
      </c>
      <c r="F775" s="202"/>
      <c r="G775" s="202"/>
      <c r="H775" s="203"/>
      <c r="I775" s="248"/>
      <c r="J775" s="266">
        <v>1</v>
      </c>
      <c r="K775" s="326"/>
      <c r="M775" s="2"/>
      <c r="N775" s="2"/>
    </row>
    <row r="776" spans="1:14" ht="18" customHeight="1" x14ac:dyDescent="0.35">
      <c r="A776"/>
      <c r="B776" s="17"/>
      <c r="C776" s="115" t="s">
        <v>583</v>
      </c>
      <c r="D776" s="77"/>
      <c r="E776" s="201">
        <v>1</v>
      </c>
      <c r="F776" s="202"/>
      <c r="G776" s="202"/>
      <c r="H776" s="203"/>
      <c r="I776" s="248"/>
      <c r="J776" s="266">
        <v>1</v>
      </c>
      <c r="K776" s="323"/>
      <c r="M776" s="2"/>
      <c r="N776" s="2"/>
    </row>
    <row r="777" spans="1:14" ht="18" customHeight="1" x14ac:dyDescent="0.35">
      <c r="A777"/>
      <c r="B777" s="17"/>
      <c r="C777" s="115" t="s">
        <v>547</v>
      </c>
      <c r="D777" s="77"/>
      <c r="E777" s="201">
        <v>1</v>
      </c>
      <c r="F777" s="202"/>
      <c r="G777" s="202"/>
      <c r="H777" s="203"/>
      <c r="I777" s="249"/>
      <c r="J777" s="266">
        <v>1</v>
      </c>
      <c r="K777" s="323"/>
      <c r="M777" s="2"/>
      <c r="N777" s="2"/>
    </row>
    <row r="778" spans="1:14" ht="18" customHeight="1" thickBot="1" x14ac:dyDescent="0.4">
      <c r="A778"/>
      <c r="B778" s="41"/>
      <c r="C778" s="87"/>
      <c r="D778" s="86"/>
      <c r="E778" s="310"/>
      <c r="F778" s="311"/>
      <c r="G778" s="311"/>
      <c r="H778" s="311"/>
      <c r="I778" s="312"/>
      <c r="J778" s="313"/>
      <c r="K778" s="367"/>
      <c r="M778" s="2"/>
      <c r="N778" s="2"/>
    </row>
    <row r="779" spans="1:14" ht="20.149999999999999" customHeight="1" x14ac:dyDescent="0.35">
      <c r="A779"/>
      <c r="B779" s="41"/>
      <c r="C779" s="132"/>
      <c r="D779" s="133"/>
      <c r="E779" s="195">
        <f t="shared" ref="E779:J779" si="13">SUM(E705:E778)</f>
        <v>69</v>
      </c>
      <c r="F779" s="195">
        <f t="shared" si="13"/>
        <v>4</v>
      </c>
      <c r="G779" s="195">
        <f t="shared" si="13"/>
        <v>0</v>
      </c>
      <c r="H779" s="195">
        <f t="shared" si="13"/>
        <v>0</v>
      </c>
      <c r="I779" s="195">
        <f t="shared" si="13"/>
        <v>0</v>
      </c>
      <c r="J779" s="195">
        <f t="shared" si="13"/>
        <v>73</v>
      </c>
      <c r="K779" s="133"/>
      <c r="M779" s="2"/>
      <c r="N779" s="2"/>
    </row>
    <row r="780" spans="1:14" ht="20.149999999999999" customHeight="1" x14ac:dyDescent="0.35">
      <c r="A780"/>
      <c r="B780" s="41"/>
      <c r="C780" s="27"/>
      <c r="D780" s="25"/>
      <c r="E780" s="211"/>
      <c r="F780" s="211"/>
      <c r="G780" s="211"/>
      <c r="H780" s="211"/>
      <c r="I780" s="211"/>
      <c r="J780" s="211"/>
      <c r="K780" s="25"/>
      <c r="M780" s="2"/>
      <c r="N780" s="2"/>
    </row>
    <row r="781" spans="1:14" ht="20.149999999999999" customHeight="1" x14ac:dyDescent="0.35">
      <c r="A781"/>
      <c r="B781" s="117">
        <v>1.1399999999999999</v>
      </c>
      <c r="C781" s="100" t="s">
        <v>584</v>
      </c>
      <c r="D781" s="21"/>
      <c r="E781" s="196"/>
      <c r="F781" s="196"/>
      <c r="G781" s="196"/>
      <c r="H781" s="196"/>
      <c r="I781" s="196"/>
      <c r="J781" s="196"/>
      <c r="K781" s="320"/>
      <c r="M781" s="2"/>
      <c r="N781" s="2"/>
    </row>
    <row r="782" spans="1:14" ht="20.149999999999999" customHeight="1" thickBot="1" x14ac:dyDescent="0.4">
      <c r="A782"/>
      <c r="B782" s="17"/>
      <c r="C782" s="28"/>
      <c r="D782" s="24"/>
      <c r="E782" s="211"/>
      <c r="F782" s="211"/>
      <c r="G782" s="211"/>
      <c r="H782" s="211"/>
      <c r="I782" s="211"/>
      <c r="J782" s="211"/>
      <c r="K782" s="330"/>
      <c r="M782" s="2"/>
      <c r="N782" s="2"/>
    </row>
    <row r="783" spans="1:14" ht="20.149999999999999" customHeight="1" x14ac:dyDescent="0.35">
      <c r="A783"/>
      <c r="B783" s="17"/>
      <c r="C783" s="79" t="s">
        <v>38</v>
      </c>
      <c r="D783" s="76"/>
      <c r="E783" s="198" t="s">
        <v>20</v>
      </c>
      <c r="F783" s="198" t="s">
        <v>24</v>
      </c>
      <c r="G783" s="198" t="s">
        <v>27</v>
      </c>
      <c r="H783" s="198" t="s">
        <v>29</v>
      </c>
      <c r="I783" s="199" t="s">
        <v>32</v>
      </c>
      <c r="J783" s="200" t="s">
        <v>35</v>
      </c>
      <c r="K783" s="322" t="s">
        <v>39</v>
      </c>
      <c r="M783" s="2"/>
      <c r="N783" s="2"/>
    </row>
    <row r="784" spans="1:14" ht="18" customHeight="1" x14ac:dyDescent="0.35">
      <c r="A784"/>
      <c r="B784" s="17"/>
      <c r="C784" s="118" t="s">
        <v>585</v>
      </c>
      <c r="D784" s="77"/>
      <c r="E784" s="201">
        <v>1</v>
      </c>
      <c r="F784" s="202"/>
      <c r="G784" s="202"/>
      <c r="H784" s="202"/>
      <c r="I784" s="203"/>
      <c r="J784" s="271">
        <v>1</v>
      </c>
      <c r="K784" s="328"/>
      <c r="M784" s="2"/>
      <c r="N784" s="2"/>
    </row>
    <row r="785" spans="1:14" ht="18" customHeight="1" x14ac:dyDescent="0.35">
      <c r="A785"/>
      <c r="B785" s="17"/>
      <c r="C785" s="105" t="s">
        <v>586</v>
      </c>
      <c r="D785" s="77"/>
      <c r="E785" s="201">
        <v>1</v>
      </c>
      <c r="F785" s="202"/>
      <c r="G785" s="202"/>
      <c r="H785" s="202"/>
      <c r="I785" s="203"/>
      <c r="J785" s="272">
        <v>1</v>
      </c>
      <c r="K785" s="327"/>
      <c r="M785" s="2"/>
      <c r="N785" s="2"/>
    </row>
    <row r="786" spans="1:14" ht="18" customHeight="1" x14ac:dyDescent="0.35">
      <c r="A786"/>
      <c r="B786" s="17"/>
      <c r="C786" s="105" t="s">
        <v>587</v>
      </c>
      <c r="D786" s="77"/>
      <c r="E786" s="201"/>
      <c r="F786" s="202">
        <v>1</v>
      </c>
      <c r="G786" s="202"/>
      <c r="H786" s="202"/>
      <c r="I786" s="203"/>
      <c r="J786" s="272">
        <v>1</v>
      </c>
      <c r="K786" s="327"/>
      <c r="M786" s="2"/>
      <c r="N786" s="2"/>
    </row>
    <row r="787" spans="1:14" ht="18" customHeight="1" x14ac:dyDescent="0.35">
      <c r="A787"/>
      <c r="B787" s="17"/>
      <c r="C787" s="105" t="s">
        <v>588</v>
      </c>
      <c r="D787" s="77"/>
      <c r="E787" s="201">
        <v>1</v>
      </c>
      <c r="F787" s="202"/>
      <c r="G787" s="202"/>
      <c r="H787" s="202"/>
      <c r="I787" s="203"/>
      <c r="J787" s="272">
        <v>1</v>
      </c>
      <c r="K787" s="327"/>
      <c r="M787" s="2"/>
      <c r="N787" s="2"/>
    </row>
    <row r="788" spans="1:14" ht="18" customHeight="1" x14ac:dyDescent="0.35">
      <c r="A788"/>
      <c r="B788" s="17"/>
      <c r="C788" s="105" t="s">
        <v>589</v>
      </c>
      <c r="D788" s="77"/>
      <c r="E788" s="201">
        <v>1</v>
      </c>
      <c r="F788" s="202"/>
      <c r="G788" s="202"/>
      <c r="H788" s="202"/>
      <c r="I788" s="203"/>
      <c r="J788" s="272">
        <v>1</v>
      </c>
      <c r="K788" s="327"/>
      <c r="M788" s="2"/>
      <c r="N788" s="2"/>
    </row>
    <row r="789" spans="1:14" ht="18" customHeight="1" x14ac:dyDescent="0.35">
      <c r="A789"/>
      <c r="B789" s="17"/>
      <c r="C789" s="105" t="s">
        <v>590</v>
      </c>
      <c r="D789" s="77"/>
      <c r="E789" s="212">
        <v>1</v>
      </c>
      <c r="F789" s="213"/>
      <c r="G789" s="213"/>
      <c r="H789" s="213"/>
      <c r="I789" s="214"/>
      <c r="J789" s="272">
        <v>1</v>
      </c>
      <c r="K789" s="368"/>
      <c r="M789" s="2"/>
      <c r="N789" s="2"/>
    </row>
    <row r="790" spans="1:14" ht="18" customHeight="1" x14ac:dyDescent="0.35">
      <c r="A790"/>
      <c r="B790" s="17"/>
      <c r="C790" s="105" t="s">
        <v>591</v>
      </c>
      <c r="D790" s="77"/>
      <c r="E790" s="212">
        <v>1</v>
      </c>
      <c r="F790" s="213"/>
      <c r="G790" s="213"/>
      <c r="H790" s="213"/>
      <c r="I790" s="214"/>
      <c r="J790" s="272">
        <v>1</v>
      </c>
      <c r="K790" s="368"/>
      <c r="M790" s="2"/>
      <c r="N790" s="2"/>
    </row>
    <row r="791" spans="1:14" ht="18" customHeight="1" x14ac:dyDescent="0.35">
      <c r="A791"/>
      <c r="B791" s="17"/>
      <c r="C791" s="105" t="s">
        <v>592</v>
      </c>
      <c r="D791" s="77"/>
      <c r="E791" s="212">
        <v>1</v>
      </c>
      <c r="F791" s="213"/>
      <c r="G791" s="213"/>
      <c r="H791" s="213"/>
      <c r="I791" s="214"/>
      <c r="J791" s="272">
        <v>1</v>
      </c>
      <c r="K791" s="368"/>
      <c r="M791" s="2"/>
      <c r="N791" s="2"/>
    </row>
    <row r="792" spans="1:14" ht="18" customHeight="1" x14ac:dyDescent="0.35">
      <c r="A792"/>
      <c r="B792" s="17"/>
      <c r="C792" s="108" t="s">
        <v>593</v>
      </c>
      <c r="D792" s="77"/>
      <c r="E792" s="212">
        <v>1</v>
      </c>
      <c r="F792" s="213"/>
      <c r="G792" s="213"/>
      <c r="H792" s="213"/>
      <c r="I792" s="214"/>
      <c r="J792" s="272">
        <v>1</v>
      </c>
      <c r="K792" s="368"/>
      <c r="M792" s="2"/>
      <c r="N792" s="2"/>
    </row>
    <row r="793" spans="1:14" ht="18" customHeight="1" x14ac:dyDescent="0.35">
      <c r="A793"/>
      <c r="B793" s="17"/>
      <c r="C793" s="108" t="s">
        <v>594</v>
      </c>
      <c r="D793" s="77"/>
      <c r="E793" s="212">
        <v>1</v>
      </c>
      <c r="F793" s="213"/>
      <c r="G793" s="213"/>
      <c r="H793" s="213"/>
      <c r="I793" s="214"/>
      <c r="J793" s="272">
        <v>1</v>
      </c>
      <c r="K793" s="368"/>
      <c r="M793" s="2"/>
      <c r="N793" s="2"/>
    </row>
    <row r="794" spans="1:14" ht="18" customHeight="1" x14ac:dyDescent="0.35">
      <c r="A794"/>
      <c r="B794" s="17"/>
      <c r="C794" s="108" t="s">
        <v>595</v>
      </c>
      <c r="D794" s="77"/>
      <c r="E794" s="212">
        <v>1</v>
      </c>
      <c r="F794" s="213"/>
      <c r="G794" s="213"/>
      <c r="H794" s="213"/>
      <c r="I794" s="214"/>
      <c r="J794" s="272">
        <v>1</v>
      </c>
      <c r="K794" s="368"/>
      <c r="M794" s="2"/>
      <c r="N794" s="2"/>
    </row>
    <row r="795" spans="1:14" ht="18" customHeight="1" x14ac:dyDescent="0.35">
      <c r="A795"/>
      <c r="B795" s="17"/>
      <c r="C795" s="108" t="s">
        <v>596</v>
      </c>
      <c r="D795" s="77"/>
      <c r="E795" s="212">
        <v>1</v>
      </c>
      <c r="F795" s="213"/>
      <c r="G795" s="213"/>
      <c r="H795" s="213"/>
      <c r="I795" s="214"/>
      <c r="J795" s="272">
        <v>1</v>
      </c>
      <c r="K795" s="368"/>
      <c r="M795" s="2"/>
      <c r="N795" s="2"/>
    </row>
    <row r="796" spans="1:14" ht="18" customHeight="1" x14ac:dyDescent="0.35">
      <c r="A796"/>
      <c r="B796" s="17"/>
      <c r="C796" s="108" t="s">
        <v>597</v>
      </c>
      <c r="D796" s="77"/>
      <c r="E796" s="212">
        <v>1</v>
      </c>
      <c r="F796" s="213"/>
      <c r="G796" s="213"/>
      <c r="H796" s="213"/>
      <c r="I796" s="214"/>
      <c r="J796" s="272">
        <v>1</v>
      </c>
      <c r="K796" s="369"/>
      <c r="M796" s="2"/>
      <c r="N796" s="2"/>
    </row>
    <row r="797" spans="1:14" ht="18" customHeight="1" x14ac:dyDescent="0.35">
      <c r="A797"/>
      <c r="B797" s="17"/>
      <c r="C797" s="108" t="s">
        <v>598</v>
      </c>
      <c r="D797" s="77"/>
      <c r="E797" s="212">
        <v>1</v>
      </c>
      <c r="F797" s="213"/>
      <c r="G797" s="213"/>
      <c r="H797" s="213"/>
      <c r="I797" s="214"/>
      <c r="J797" s="272">
        <v>1</v>
      </c>
      <c r="K797" s="368"/>
      <c r="M797" s="2"/>
      <c r="N797" s="2"/>
    </row>
    <row r="798" spans="1:14" ht="18" customHeight="1" x14ac:dyDescent="0.35">
      <c r="A798"/>
      <c r="B798" s="17"/>
      <c r="C798" s="108" t="s">
        <v>599</v>
      </c>
      <c r="D798" s="77"/>
      <c r="E798" s="212">
        <v>1</v>
      </c>
      <c r="F798" s="213"/>
      <c r="G798" s="213"/>
      <c r="H798" s="213"/>
      <c r="I798" s="214"/>
      <c r="J798" s="272">
        <v>1</v>
      </c>
      <c r="K798" s="368"/>
      <c r="M798" s="2"/>
      <c r="N798" s="2"/>
    </row>
    <row r="799" spans="1:14" ht="18" customHeight="1" x14ac:dyDescent="0.35">
      <c r="A799"/>
      <c r="B799" s="17"/>
      <c r="C799" s="108" t="s">
        <v>600</v>
      </c>
      <c r="D799" s="77"/>
      <c r="E799" s="212">
        <v>1</v>
      </c>
      <c r="F799" s="213"/>
      <c r="G799" s="213"/>
      <c r="H799" s="213"/>
      <c r="I799" s="214"/>
      <c r="J799" s="272">
        <v>1</v>
      </c>
      <c r="K799" s="368"/>
      <c r="M799" s="2"/>
      <c r="N799" s="2"/>
    </row>
    <row r="800" spans="1:14" ht="18" customHeight="1" x14ac:dyDescent="0.35">
      <c r="A800"/>
      <c r="B800" s="17"/>
      <c r="C800" s="108" t="s">
        <v>601</v>
      </c>
      <c r="D800" s="77"/>
      <c r="E800" s="212">
        <v>1</v>
      </c>
      <c r="F800" s="213"/>
      <c r="G800" s="213"/>
      <c r="H800" s="213"/>
      <c r="I800" s="214"/>
      <c r="J800" s="272">
        <v>1</v>
      </c>
      <c r="K800" s="368"/>
      <c r="M800" s="2"/>
      <c r="N800" s="2"/>
    </row>
    <row r="801" spans="1:14" ht="18" customHeight="1" x14ac:dyDescent="0.35">
      <c r="A801"/>
      <c r="B801" s="17"/>
      <c r="C801" s="108" t="s">
        <v>602</v>
      </c>
      <c r="D801" s="77"/>
      <c r="E801" s="212">
        <v>1</v>
      </c>
      <c r="F801" s="213"/>
      <c r="G801" s="213"/>
      <c r="H801" s="213"/>
      <c r="I801" s="214"/>
      <c r="J801" s="272">
        <v>1</v>
      </c>
      <c r="K801" s="368"/>
      <c r="M801" s="2"/>
      <c r="N801" s="2"/>
    </row>
    <row r="802" spans="1:14" ht="18" customHeight="1" x14ac:dyDescent="0.35">
      <c r="A802"/>
      <c r="B802" s="17"/>
      <c r="C802" s="105" t="s">
        <v>603</v>
      </c>
      <c r="D802" s="77"/>
      <c r="E802" s="212"/>
      <c r="F802" s="213">
        <v>1</v>
      </c>
      <c r="G802" s="213"/>
      <c r="H802" s="213"/>
      <c r="I802" s="214"/>
      <c r="J802" s="272">
        <v>1</v>
      </c>
      <c r="K802" s="369"/>
      <c r="M802" s="2"/>
      <c r="N802" s="2"/>
    </row>
    <row r="803" spans="1:14" ht="18" customHeight="1" x14ac:dyDescent="0.35">
      <c r="A803"/>
      <c r="B803" s="17"/>
      <c r="C803" s="105" t="s">
        <v>604</v>
      </c>
      <c r="D803" s="77"/>
      <c r="E803" s="212">
        <v>1</v>
      </c>
      <c r="F803" s="213"/>
      <c r="G803" s="213"/>
      <c r="H803" s="213"/>
      <c r="I803" s="214"/>
      <c r="J803" s="279">
        <v>1</v>
      </c>
      <c r="K803" s="369"/>
      <c r="M803" s="2"/>
      <c r="N803" s="2"/>
    </row>
    <row r="804" spans="1:14" ht="18" customHeight="1" x14ac:dyDescent="0.35">
      <c r="A804"/>
      <c r="B804" s="17"/>
      <c r="C804" s="94" t="s">
        <v>605</v>
      </c>
      <c r="D804" s="77"/>
      <c r="E804" s="212">
        <v>1</v>
      </c>
      <c r="F804" s="213"/>
      <c r="G804" s="213"/>
      <c r="H804" s="213"/>
      <c r="I804" s="251"/>
      <c r="J804" s="305">
        <v>1</v>
      </c>
      <c r="K804" s="353"/>
      <c r="M804" s="2"/>
      <c r="N804" s="2"/>
    </row>
    <row r="805" spans="1:14" ht="18" customHeight="1" x14ac:dyDescent="0.35">
      <c r="A805"/>
      <c r="B805" s="17"/>
      <c r="C805" s="94" t="s">
        <v>606</v>
      </c>
      <c r="D805" s="77"/>
      <c r="E805" s="212">
        <v>1</v>
      </c>
      <c r="F805" s="213"/>
      <c r="G805" s="213"/>
      <c r="H805" s="213"/>
      <c r="I805" s="251"/>
      <c r="J805" s="266">
        <v>1</v>
      </c>
      <c r="K805" s="352"/>
      <c r="M805" s="2"/>
      <c r="N805" s="2"/>
    </row>
    <row r="806" spans="1:14" ht="18" customHeight="1" x14ac:dyDescent="0.35">
      <c r="A806"/>
      <c r="B806" s="17"/>
      <c r="C806" s="94" t="s">
        <v>607</v>
      </c>
      <c r="D806" s="77"/>
      <c r="E806" s="212">
        <v>1</v>
      </c>
      <c r="F806" s="213"/>
      <c r="G806" s="213"/>
      <c r="H806" s="213"/>
      <c r="I806" s="251"/>
      <c r="J806" s="266">
        <v>1</v>
      </c>
      <c r="K806" s="353"/>
      <c r="M806" s="2"/>
      <c r="N806" s="2"/>
    </row>
    <row r="807" spans="1:14" ht="18" customHeight="1" x14ac:dyDescent="0.35">
      <c r="A807"/>
      <c r="B807" s="17"/>
      <c r="C807" s="93" t="s">
        <v>608</v>
      </c>
      <c r="D807" s="77"/>
      <c r="E807" s="212">
        <v>1</v>
      </c>
      <c r="F807" s="213"/>
      <c r="G807" s="213"/>
      <c r="H807" s="213"/>
      <c r="I807" s="251"/>
      <c r="J807" s="266">
        <v>1</v>
      </c>
      <c r="K807" s="353"/>
      <c r="M807" s="2"/>
      <c r="N807" s="2"/>
    </row>
    <row r="808" spans="1:14" ht="31" x14ac:dyDescent="0.35">
      <c r="A808"/>
      <c r="B808" s="17"/>
      <c r="C808" s="93" t="s">
        <v>609</v>
      </c>
      <c r="D808" s="77"/>
      <c r="E808" s="212">
        <v>1</v>
      </c>
      <c r="F808" s="213"/>
      <c r="G808" s="213"/>
      <c r="H808" s="213"/>
      <c r="I808" s="251"/>
      <c r="J808" s="266">
        <v>1</v>
      </c>
      <c r="K808" s="353"/>
      <c r="M808" s="2"/>
      <c r="N808" s="2"/>
    </row>
    <row r="809" spans="1:14" ht="18" customHeight="1" x14ac:dyDescent="0.35">
      <c r="A809"/>
      <c r="B809" s="17"/>
      <c r="C809" s="93" t="s">
        <v>610</v>
      </c>
      <c r="D809" s="77"/>
      <c r="E809" s="212">
        <v>1</v>
      </c>
      <c r="F809" s="213"/>
      <c r="G809" s="213"/>
      <c r="H809" s="213"/>
      <c r="I809" s="251"/>
      <c r="J809" s="266">
        <v>1</v>
      </c>
      <c r="K809" s="352"/>
      <c r="M809" s="2"/>
      <c r="N809" s="2"/>
    </row>
    <row r="810" spans="1:14" ht="18" customHeight="1" x14ac:dyDescent="0.35">
      <c r="A810"/>
      <c r="B810" s="17"/>
      <c r="C810" s="93" t="s">
        <v>611</v>
      </c>
      <c r="D810" s="77"/>
      <c r="E810" s="212">
        <v>1</v>
      </c>
      <c r="F810" s="213"/>
      <c r="G810" s="213"/>
      <c r="H810" s="213"/>
      <c r="I810" s="251"/>
      <c r="J810" s="266">
        <v>1</v>
      </c>
      <c r="K810" s="352"/>
      <c r="M810" s="2"/>
      <c r="N810" s="2"/>
    </row>
    <row r="811" spans="1:14" ht="18" customHeight="1" x14ac:dyDescent="0.35">
      <c r="A811"/>
      <c r="B811" s="17"/>
      <c r="C811" s="93" t="s">
        <v>612</v>
      </c>
      <c r="D811" s="77"/>
      <c r="E811" s="212">
        <v>1</v>
      </c>
      <c r="F811" s="213"/>
      <c r="G811" s="213"/>
      <c r="H811" s="213"/>
      <c r="I811" s="251"/>
      <c r="J811" s="266">
        <v>1</v>
      </c>
      <c r="K811" s="352"/>
      <c r="M811" s="2"/>
      <c r="N811" s="2"/>
    </row>
    <row r="812" spans="1:14" ht="18" customHeight="1" x14ac:dyDescent="0.35">
      <c r="A812"/>
      <c r="B812" s="17"/>
      <c r="C812" s="93" t="s">
        <v>613</v>
      </c>
      <c r="D812" s="77"/>
      <c r="E812" s="212">
        <v>1</v>
      </c>
      <c r="F812" s="213"/>
      <c r="G812" s="213"/>
      <c r="H812" s="213"/>
      <c r="I812" s="251"/>
      <c r="J812" s="266">
        <v>1</v>
      </c>
      <c r="K812" s="352"/>
      <c r="M812" s="2"/>
      <c r="N812" s="2"/>
    </row>
    <row r="813" spans="1:14" ht="18" customHeight="1" x14ac:dyDescent="0.35">
      <c r="A813"/>
      <c r="B813" s="17"/>
      <c r="C813" s="93" t="s">
        <v>614</v>
      </c>
      <c r="D813" s="77"/>
      <c r="E813" s="212">
        <v>1</v>
      </c>
      <c r="F813" s="213"/>
      <c r="G813" s="213"/>
      <c r="H813" s="213"/>
      <c r="I813" s="251"/>
      <c r="J813" s="266">
        <v>1</v>
      </c>
      <c r="K813" s="352"/>
      <c r="M813" s="2"/>
      <c r="N813" s="2"/>
    </row>
    <row r="814" spans="1:14" ht="18" customHeight="1" x14ac:dyDescent="0.35">
      <c r="A814"/>
      <c r="B814" s="17"/>
      <c r="C814" s="93" t="s">
        <v>615</v>
      </c>
      <c r="D814" s="77"/>
      <c r="E814" s="212">
        <v>1</v>
      </c>
      <c r="F814" s="213"/>
      <c r="G814" s="213"/>
      <c r="H814" s="213"/>
      <c r="I814" s="251"/>
      <c r="J814" s="266">
        <v>1</v>
      </c>
      <c r="K814" s="352"/>
      <c r="M814" s="2"/>
      <c r="N814" s="2"/>
    </row>
    <row r="815" spans="1:14" ht="18" customHeight="1" x14ac:dyDescent="0.35">
      <c r="A815"/>
      <c r="B815" s="17"/>
      <c r="C815" s="93" t="s">
        <v>616</v>
      </c>
      <c r="D815" s="77"/>
      <c r="E815" s="212">
        <v>1</v>
      </c>
      <c r="F815" s="213"/>
      <c r="G815" s="213"/>
      <c r="H815" s="213"/>
      <c r="I815" s="251"/>
      <c r="J815" s="266">
        <v>1</v>
      </c>
      <c r="K815" s="370"/>
      <c r="M815" s="2"/>
      <c r="N815" s="2"/>
    </row>
    <row r="816" spans="1:14" ht="18" customHeight="1" x14ac:dyDescent="0.35">
      <c r="A816"/>
      <c r="B816" s="17"/>
      <c r="C816" s="93" t="s">
        <v>617</v>
      </c>
      <c r="D816" s="77"/>
      <c r="E816" s="212">
        <v>1</v>
      </c>
      <c r="F816" s="213"/>
      <c r="G816" s="213"/>
      <c r="H816" s="213"/>
      <c r="I816" s="251"/>
      <c r="J816" s="266">
        <v>1</v>
      </c>
      <c r="K816" s="352"/>
      <c r="M816" s="2"/>
      <c r="N816" s="2"/>
    </row>
    <row r="817" spans="1:14" ht="18" customHeight="1" x14ac:dyDescent="0.35">
      <c r="A817"/>
      <c r="B817" s="17"/>
      <c r="C817" s="93" t="s">
        <v>618</v>
      </c>
      <c r="D817" s="77"/>
      <c r="E817" s="212">
        <v>1</v>
      </c>
      <c r="F817" s="213"/>
      <c r="G817" s="213"/>
      <c r="H817" s="213"/>
      <c r="I817" s="251"/>
      <c r="J817" s="266">
        <v>1</v>
      </c>
      <c r="K817" s="352"/>
      <c r="M817" s="2"/>
      <c r="N817" s="2"/>
    </row>
    <row r="818" spans="1:14" ht="18" customHeight="1" x14ac:dyDescent="0.35">
      <c r="A818"/>
      <c r="B818" s="17"/>
      <c r="C818" s="93" t="s">
        <v>619</v>
      </c>
      <c r="D818" s="77"/>
      <c r="E818" s="212">
        <v>1</v>
      </c>
      <c r="F818" s="213"/>
      <c r="G818" s="213"/>
      <c r="H818" s="213"/>
      <c r="I818" s="251"/>
      <c r="J818" s="266">
        <v>1</v>
      </c>
      <c r="K818" s="352"/>
      <c r="M818" s="2"/>
      <c r="N818" s="2"/>
    </row>
    <row r="819" spans="1:14" ht="18" customHeight="1" x14ac:dyDescent="0.35">
      <c r="A819"/>
      <c r="B819" s="17"/>
      <c r="C819" s="93" t="s">
        <v>620</v>
      </c>
      <c r="D819" s="77"/>
      <c r="E819" s="212">
        <v>1</v>
      </c>
      <c r="F819" s="213"/>
      <c r="G819" s="213"/>
      <c r="H819" s="213"/>
      <c r="I819" s="251"/>
      <c r="J819" s="266">
        <v>1</v>
      </c>
      <c r="K819" s="353"/>
      <c r="M819" s="2"/>
      <c r="N819" s="2"/>
    </row>
    <row r="820" spans="1:14" ht="18" customHeight="1" x14ac:dyDescent="0.35">
      <c r="A820"/>
      <c r="B820" s="17"/>
      <c r="C820" s="93" t="s">
        <v>621</v>
      </c>
      <c r="D820" s="77"/>
      <c r="E820" s="212">
        <v>1</v>
      </c>
      <c r="F820" s="213"/>
      <c r="G820" s="213"/>
      <c r="H820" s="213"/>
      <c r="I820" s="251"/>
      <c r="J820" s="266">
        <v>1</v>
      </c>
      <c r="K820" s="353"/>
      <c r="M820" s="2"/>
      <c r="N820" s="2"/>
    </row>
    <row r="821" spans="1:14" ht="18" customHeight="1" x14ac:dyDescent="0.35">
      <c r="A821"/>
      <c r="B821" s="17"/>
      <c r="C821" s="93" t="s">
        <v>622</v>
      </c>
      <c r="D821" s="77"/>
      <c r="E821" s="212">
        <v>1</v>
      </c>
      <c r="F821" s="213"/>
      <c r="G821" s="213"/>
      <c r="H821" s="213"/>
      <c r="I821" s="251"/>
      <c r="J821" s="266">
        <v>1</v>
      </c>
      <c r="K821" s="371"/>
      <c r="M821" s="2"/>
      <c r="N821" s="2"/>
    </row>
    <row r="822" spans="1:14" ht="173.25" customHeight="1" x14ac:dyDescent="0.35">
      <c r="A822"/>
      <c r="B822" s="17"/>
      <c r="C822" s="93" t="s">
        <v>623</v>
      </c>
      <c r="D822" s="77"/>
      <c r="E822" s="212">
        <v>1</v>
      </c>
      <c r="F822" s="213"/>
      <c r="G822" s="213"/>
      <c r="H822" s="213"/>
      <c r="I822" s="259"/>
      <c r="J822" s="266">
        <v>1</v>
      </c>
      <c r="K822" s="370" t="s">
        <v>624</v>
      </c>
      <c r="M822" s="2"/>
      <c r="N822" s="2"/>
    </row>
    <row r="823" spans="1:14" ht="18" customHeight="1" thickBot="1" x14ac:dyDescent="0.4">
      <c r="A823"/>
      <c r="B823" s="41"/>
      <c r="C823" s="88"/>
      <c r="D823" s="86"/>
      <c r="E823" s="310"/>
      <c r="F823" s="311"/>
      <c r="G823" s="311"/>
      <c r="H823" s="311"/>
      <c r="I823" s="312"/>
      <c r="J823" s="313"/>
      <c r="K823" s="367"/>
      <c r="M823" s="2"/>
      <c r="N823" s="2"/>
    </row>
    <row r="824" spans="1:14" ht="20.149999999999999" customHeight="1" x14ac:dyDescent="0.35">
      <c r="A824"/>
      <c r="B824" s="41"/>
      <c r="C824" s="27"/>
      <c r="D824" s="133"/>
      <c r="E824" s="195">
        <f t="shared" ref="E824:J824" si="14">SUM(E784:E823)</f>
        <v>37</v>
      </c>
      <c r="F824" s="195">
        <f t="shared" si="14"/>
        <v>2</v>
      </c>
      <c r="G824" s="195">
        <f t="shared" si="14"/>
        <v>0</v>
      </c>
      <c r="H824" s="195">
        <f t="shared" si="14"/>
        <v>0</v>
      </c>
      <c r="I824" s="195">
        <f t="shared" si="14"/>
        <v>0</v>
      </c>
      <c r="J824" s="195">
        <f t="shared" si="14"/>
        <v>39</v>
      </c>
      <c r="K824" s="133"/>
      <c r="M824" s="2"/>
      <c r="N824" s="2"/>
    </row>
    <row r="825" spans="1:14" ht="20.149999999999999" customHeight="1" x14ac:dyDescent="0.35">
      <c r="A825"/>
      <c r="B825" s="41"/>
      <c r="C825" s="27"/>
      <c r="D825" s="25"/>
      <c r="E825" s="211"/>
      <c r="F825" s="211"/>
      <c r="G825" s="211"/>
      <c r="H825" s="211"/>
      <c r="I825" s="211"/>
      <c r="J825" s="211"/>
      <c r="K825" s="25"/>
      <c r="M825" s="2"/>
      <c r="N825" s="2"/>
    </row>
    <row r="826" spans="1:14" ht="20.149999999999999" customHeight="1" x14ac:dyDescent="0.35">
      <c r="A826"/>
      <c r="B826" s="117">
        <v>1.1499999999999999</v>
      </c>
      <c r="C826" s="100" t="s">
        <v>625</v>
      </c>
      <c r="D826" s="21"/>
      <c r="E826" s="196"/>
      <c r="F826" s="196"/>
      <c r="G826" s="196"/>
      <c r="H826" s="196"/>
      <c r="I826" s="196"/>
      <c r="J826" s="196"/>
      <c r="K826" s="320"/>
      <c r="M826" s="2"/>
      <c r="N826" s="2"/>
    </row>
    <row r="827" spans="1:14" ht="20.149999999999999" customHeight="1" thickBot="1" x14ac:dyDescent="0.4">
      <c r="A827"/>
      <c r="B827" s="17"/>
      <c r="C827" s="28"/>
      <c r="D827" s="24"/>
      <c r="E827" s="211"/>
      <c r="F827" s="211"/>
      <c r="G827" s="211"/>
      <c r="H827" s="211"/>
      <c r="I827" s="211"/>
      <c r="J827" s="211"/>
      <c r="K827" s="330"/>
      <c r="M827" s="2"/>
      <c r="N827" s="2"/>
    </row>
    <row r="828" spans="1:14" ht="20.149999999999999" customHeight="1" x14ac:dyDescent="0.35">
      <c r="A828"/>
      <c r="B828" s="17"/>
      <c r="C828" s="79" t="s">
        <v>38</v>
      </c>
      <c r="D828" s="76"/>
      <c r="E828" s="198" t="s">
        <v>20</v>
      </c>
      <c r="F828" s="198" t="s">
        <v>24</v>
      </c>
      <c r="G828" s="198" t="s">
        <v>27</v>
      </c>
      <c r="H828" s="198" t="s">
        <v>29</v>
      </c>
      <c r="I828" s="199" t="s">
        <v>32</v>
      </c>
      <c r="J828" s="200" t="s">
        <v>35</v>
      </c>
      <c r="K828" s="322" t="s">
        <v>39</v>
      </c>
      <c r="M828" s="2"/>
      <c r="N828" s="2"/>
    </row>
    <row r="829" spans="1:14" ht="18" customHeight="1" x14ac:dyDescent="0.35">
      <c r="A829"/>
      <c r="B829" s="17"/>
      <c r="C829" s="166" t="s">
        <v>626</v>
      </c>
      <c r="D829"/>
      <c r="E829" s="223"/>
      <c r="F829" s="202"/>
      <c r="G829" s="202"/>
      <c r="H829" s="202"/>
      <c r="I829" s="203"/>
      <c r="J829" s="247"/>
      <c r="K829" s="372"/>
      <c r="M829" s="2"/>
      <c r="N829" s="2"/>
    </row>
    <row r="830" spans="1:14" ht="18" customHeight="1" x14ac:dyDescent="0.35">
      <c r="A830"/>
      <c r="B830" s="17"/>
      <c r="C830" s="119" t="s">
        <v>627</v>
      </c>
      <c r="D830" s="77"/>
      <c r="E830" s="201"/>
      <c r="F830" s="202">
        <v>1</v>
      </c>
      <c r="G830" s="202"/>
      <c r="H830" s="202"/>
      <c r="I830" s="203"/>
      <c r="J830" s="272">
        <v>1</v>
      </c>
      <c r="K830" s="328"/>
      <c r="M830" s="2"/>
      <c r="N830" s="2"/>
    </row>
    <row r="831" spans="1:14" ht="18" customHeight="1" x14ac:dyDescent="0.35">
      <c r="A831"/>
      <c r="B831" s="17"/>
      <c r="C831" s="94" t="s">
        <v>628</v>
      </c>
      <c r="D831" s="77"/>
      <c r="E831" s="201">
        <v>1</v>
      </c>
      <c r="F831" s="202"/>
      <c r="G831" s="202"/>
      <c r="H831" s="202"/>
      <c r="I831" s="203"/>
      <c r="J831" s="272">
        <v>1</v>
      </c>
      <c r="K831" s="327"/>
      <c r="M831" s="2"/>
      <c r="N831" s="2"/>
    </row>
    <row r="832" spans="1:14" ht="18" customHeight="1" x14ac:dyDescent="0.35">
      <c r="A832"/>
      <c r="B832" s="17"/>
      <c r="C832" s="93" t="s">
        <v>629</v>
      </c>
      <c r="D832" s="77"/>
      <c r="E832" s="201">
        <v>1</v>
      </c>
      <c r="F832" s="202"/>
      <c r="G832" s="202"/>
      <c r="H832" s="202"/>
      <c r="I832" s="203"/>
      <c r="J832" s="272">
        <v>1</v>
      </c>
      <c r="K832" s="327"/>
      <c r="M832" s="2"/>
      <c r="N832" s="2"/>
    </row>
    <row r="833" spans="1:14" ht="18" customHeight="1" x14ac:dyDescent="0.35">
      <c r="A833"/>
      <c r="B833" s="17"/>
      <c r="C833" s="94" t="s">
        <v>630</v>
      </c>
      <c r="D833" s="77"/>
      <c r="E833" s="201">
        <v>1</v>
      </c>
      <c r="F833" s="202"/>
      <c r="G833" s="202"/>
      <c r="H833" s="202"/>
      <c r="I833" s="203"/>
      <c r="J833" s="272">
        <v>1</v>
      </c>
      <c r="K833" s="327"/>
      <c r="M833" s="2"/>
      <c r="N833" s="2"/>
    </row>
    <row r="834" spans="1:14" ht="18" customHeight="1" x14ac:dyDescent="0.35">
      <c r="A834"/>
      <c r="B834" s="17"/>
      <c r="C834" s="94" t="s">
        <v>613</v>
      </c>
      <c r="D834" s="77"/>
      <c r="E834" s="201">
        <v>1</v>
      </c>
      <c r="F834" s="202"/>
      <c r="G834" s="202"/>
      <c r="H834" s="202"/>
      <c r="I834" s="203"/>
      <c r="J834" s="272">
        <v>1</v>
      </c>
      <c r="K834" s="327"/>
      <c r="M834" s="2"/>
      <c r="N834" s="2"/>
    </row>
    <row r="835" spans="1:14" ht="18" customHeight="1" x14ac:dyDescent="0.35">
      <c r="A835"/>
      <c r="B835" s="17"/>
      <c r="C835" s="94" t="s">
        <v>631</v>
      </c>
      <c r="D835" s="77"/>
      <c r="E835" s="201">
        <v>1</v>
      </c>
      <c r="F835" s="202"/>
      <c r="G835" s="202"/>
      <c r="H835" s="202"/>
      <c r="I835" s="203"/>
      <c r="J835" s="272">
        <v>1</v>
      </c>
      <c r="K835" s="327"/>
      <c r="M835" s="2"/>
      <c r="N835" s="2"/>
    </row>
    <row r="836" spans="1:14" ht="18" customHeight="1" x14ac:dyDescent="0.35">
      <c r="A836"/>
      <c r="B836" s="17"/>
      <c r="C836" s="94" t="s">
        <v>632</v>
      </c>
      <c r="D836" s="77"/>
      <c r="E836" s="201">
        <v>1</v>
      </c>
      <c r="F836" s="202"/>
      <c r="G836" s="202"/>
      <c r="H836" s="202"/>
      <c r="I836" s="203"/>
      <c r="J836" s="272">
        <v>1</v>
      </c>
      <c r="K836" s="327"/>
      <c r="M836" s="2"/>
      <c r="N836" s="2"/>
    </row>
    <row r="837" spans="1:14" ht="18" customHeight="1" x14ac:dyDescent="0.35">
      <c r="A837"/>
      <c r="B837" s="17"/>
      <c r="C837" s="94" t="s">
        <v>633</v>
      </c>
      <c r="D837" s="77"/>
      <c r="E837" s="201">
        <v>1</v>
      </c>
      <c r="F837" s="202"/>
      <c r="G837" s="202"/>
      <c r="H837" s="202"/>
      <c r="I837" s="203"/>
      <c r="J837" s="272">
        <v>1</v>
      </c>
      <c r="K837" s="327"/>
      <c r="M837" s="2"/>
      <c r="N837" s="2"/>
    </row>
    <row r="838" spans="1:14" ht="18" customHeight="1" x14ac:dyDescent="0.35">
      <c r="A838"/>
      <c r="B838" s="17"/>
      <c r="C838" s="94" t="s">
        <v>634</v>
      </c>
      <c r="D838" s="77"/>
      <c r="E838" s="212">
        <v>1</v>
      </c>
      <c r="F838" s="213"/>
      <c r="G838" s="213"/>
      <c r="H838" s="213"/>
      <c r="I838" s="214"/>
      <c r="J838" s="272">
        <v>1</v>
      </c>
      <c r="K838" s="368"/>
      <c r="M838" s="2"/>
      <c r="N838" s="2"/>
    </row>
    <row r="839" spans="1:14" ht="18" customHeight="1" thickBot="1" x14ac:dyDescent="0.4">
      <c r="A839"/>
      <c r="B839" s="41"/>
      <c r="C839" s="88"/>
      <c r="D839" s="86"/>
      <c r="E839" s="310"/>
      <c r="F839" s="311"/>
      <c r="G839" s="311"/>
      <c r="H839" s="311"/>
      <c r="I839" s="312"/>
      <c r="J839" s="314"/>
      <c r="K839" s="373"/>
      <c r="M839" s="2"/>
      <c r="N839" s="2"/>
    </row>
    <row r="840" spans="1:14" ht="20.149999999999999" customHeight="1" x14ac:dyDescent="0.35">
      <c r="A840"/>
      <c r="B840" s="41"/>
      <c r="C840" s="27"/>
      <c r="D840" s="133"/>
      <c r="E840" s="195">
        <f t="shared" ref="E840:J840" si="15">SUM(E830:E839)</f>
        <v>8</v>
      </c>
      <c r="F840" s="195">
        <f t="shared" si="15"/>
        <v>1</v>
      </c>
      <c r="G840" s="195">
        <f t="shared" si="15"/>
        <v>0</v>
      </c>
      <c r="H840" s="195">
        <f t="shared" si="15"/>
        <v>0</v>
      </c>
      <c r="I840" s="195">
        <f t="shared" si="15"/>
        <v>0</v>
      </c>
      <c r="J840" s="195">
        <f t="shared" si="15"/>
        <v>9</v>
      </c>
      <c r="K840" s="25"/>
      <c r="M840" s="2"/>
      <c r="N840" s="2"/>
    </row>
    <row r="841" spans="1:14" ht="20.149999999999999" customHeight="1" x14ac:dyDescent="0.35">
      <c r="A841"/>
      <c r="B841" s="117">
        <v>1.1599999999999999</v>
      </c>
      <c r="C841" s="100" t="s">
        <v>635</v>
      </c>
      <c r="D841" s="21"/>
      <c r="E841" s="196"/>
      <c r="F841" s="196"/>
      <c r="G841" s="196"/>
      <c r="H841" s="196"/>
      <c r="I841" s="196"/>
      <c r="J841" s="196"/>
      <c r="K841" s="320"/>
      <c r="M841" s="2"/>
      <c r="N841" s="2"/>
    </row>
    <row r="842" spans="1:14" ht="20.149999999999999" customHeight="1" thickBot="1" x14ac:dyDescent="0.4">
      <c r="A842"/>
      <c r="B842" s="17"/>
      <c r="C842" s="28"/>
      <c r="D842" s="24"/>
      <c r="E842" s="211"/>
      <c r="F842" s="211"/>
      <c r="G842" s="211"/>
      <c r="H842" s="211"/>
      <c r="I842" s="211"/>
      <c r="J842" s="211"/>
      <c r="K842" s="330"/>
      <c r="M842" s="2"/>
      <c r="N842" s="2"/>
    </row>
    <row r="843" spans="1:14" ht="20.149999999999999" customHeight="1" x14ac:dyDescent="0.35">
      <c r="A843"/>
      <c r="B843" s="17"/>
      <c r="C843" s="79" t="s">
        <v>38</v>
      </c>
      <c r="D843" s="25"/>
      <c r="E843" s="224" t="s">
        <v>20</v>
      </c>
      <c r="F843" s="198" t="s">
        <v>24</v>
      </c>
      <c r="G843" s="198" t="s">
        <v>27</v>
      </c>
      <c r="H843" s="198" t="s">
        <v>29</v>
      </c>
      <c r="I843" s="199" t="s">
        <v>32</v>
      </c>
      <c r="J843" s="200" t="s">
        <v>35</v>
      </c>
      <c r="K843" s="374" t="s">
        <v>39</v>
      </c>
      <c r="M843" s="2"/>
      <c r="N843" s="2"/>
    </row>
    <row r="844" spans="1:14" ht="18" customHeight="1" x14ac:dyDescent="0.35">
      <c r="A844"/>
      <c r="B844" s="17"/>
      <c r="C844" s="92" t="s">
        <v>636</v>
      </c>
      <c r="D844"/>
      <c r="E844" s="223">
        <v>1</v>
      </c>
      <c r="F844" s="202"/>
      <c r="G844" s="202"/>
      <c r="H844" s="202"/>
      <c r="I844" s="239"/>
      <c r="J844" s="266">
        <v>1</v>
      </c>
      <c r="K844" s="375"/>
      <c r="M844" s="2"/>
      <c r="N844" s="2"/>
    </row>
    <row r="845" spans="1:14" ht="18" customHeight="1" x14ac:dyDescent="0.35">
      <c r="A845"/>
      <c r="B845" s="17"/>
      <c r="C845" s="167" t="s">
        <v>63</v>
      </c>
      <c r="D845"/>
      <c r="E845" s="223">
        <v>1</v>
      </c>
      <c r="F845" s="202"/>
      <c r="G845" s="202"/>
      <c r="H845" s="202"/>
      <c r="I845" s="239"/>
      <c r="J845" s="266">
        <v>1</v>
      </c>
      <c r="K845" s="376"/>
      <c r="M845" s="2"/>
      <c r="N845" s="2"/>
    </row>
    <row r="846" spans="1:14" ht="18" customHeight="1" x14ac:dyDescent="0.35">
      <c r="A846"/>
      <c r="B846" s="17"/>
      <c r="C846" s="167" t="s">
        <v>64</v>
      </c>
      <c r="D846"/>
      <c r="E846" s="223">
        <v>1</v>
      </c>
      <c r="F846" s="202"/>
      <c r="G846" s="202"/>
      <c r="H846" s="202"/>
      <c r="I846" s="239"/>
      <c r="J846" s="266">
        <v>1</v>
      </c>
      <c r="K846" s="376"/>
      <c r="M846" s="2"/>
      <c r="N846" s="2"/>
    </row>
    <row r="847" spans="1:14" ht="18" customHeight="1" x14ac:dyDescent="0.35">
      <c r="A847"/>
      <c r="B847" s="17"/>
      <c r="C847" s="167" t="s">
        <v>449</v>
      </c>
      <c r="D847"/>
      <c r="E847" s="223">
        <v>1</v>
      </c>
      <c r="F847" s="202"/>
      <c r="G847" s="202"/>
      <c r="H847" s="202"/>
      <c r="I847" s="239"/>
      <c r="J847" s="266">
        <v>1</v>
      </c>
      <c r="K847" s="376"/>
      <c r="M847" s="2"/>
      <c r="N847" s="2"/>
    </row>
    <row r="848" spans="1:14" ht="18" customHeight="1" x14ac:dyDescent="0.35">
      <c r="A848"/>
      <c r="B848" s="17"/>
      <c r="C848" s="167" t="s">
        <v>637</v>
      </c>
      <c r="D848"/>
      <c r="E848" s="223">
        <v>1</v>
      </c>
      <c r="F848" s="202"/>
      <c r="G848" s="202"/>
      <c r="H848" s="202"/>
      <c r="I848" s="239"/>
      <c r="J848" s="266">
        <v>1</v>
      </c>
      <c r="K848" s="376"/>
      <c r="M848" s="2"/>
      <c r="N848" s="2"/>
    </row>
    <row r="849" spans="1:14" ht="18" customHeight="1" x14ac:dyDescent="0.35">
      <c r="A849"/>
      <c r="B849" s="17"/>
      <c r="C849" s="167" t="s">
        <v>363</v>
      </c>
      <c r="D849"/>
      <c r="E849" s="223">
        <v>1</v>
      </c>
      <c r="F849" s="202"/>
      <c r="G849" s="202"/>
      <c r="H849" s="202"/>
      <c r="I849" s="239"/>
      <c r="J849" s="266">
        <v>1</v>
      </c>
      <c r="K849" s="376"/>
      <c r="M849" s="2"/>
      <c r="N849" s="2"/>
    </row>
    <row r="850" spans="1:14" ht="18" customHeight="1" x14ac:dyDescent="0.35">
      <c r="A850"/>
      <c r="B850" s="17"/>
      <c r="C850" s="167" t="s">
        <v>638</v>
      </c>
      <c r="D850"/>
      <c r="E850" s="223">
        <v>1</v>
      </c>
      <c r="F850" s="202"/>
      <c r="G850" s="202"/>
      <c r="H850" s="202"/>
      <c r="I850" s="239"/>
      <c r="J850" s="266">
        <v>1</v>
      </c>
      <c r="K850" s="376"/>
      <c r="M850" s="2"/>
      <c r="N850" s="2"/>
    </row>
    <row r="851" spans="1:14" ht="18" customHeight="1" x14ac:dyDescent="0.35">
      <c r="A851"/>
      <c r="B851" s="17"/>
      <c r="C851" s="92" t="s">
        <v>639</v>
      </c>
      <c r="D851"/>
      <c r="E851" s="223">
        <v>1</v>
      </c>
      <c r="F851" s="202"/>
      <c r="G851" s="202"/>
      <c r="H851" s="202"/>
      <c r="I851" s="239"/>
      <c r="J851" s="266">
        <v>1</v>
      </c>
      <c r="K851" s="376"/>
      <c r="M851" s="2"/>
      <c r="N851" s="2"/>
    </row>
    <row r="852" spans="1:14" ht="18" customHeight="1" x14ac:dyDescent="0.35">
      <c r="A852"/>
      <c r="B852" s="17"/>
      <c r="C852" s="92" t="s">
        <v>640</v>
      </c>
      <c r="D852"/>
      <c r="E852" s="223"/>
      <c r="F852" s="202">
        <v>1</v>
      </c>
      <c r="G852" s="202"/>
      <c r="H852" s="202"/>
      <c r="I852" s="239"/>
      <c r="J852" s="266">
        <v>1</v>
      </c>
      <c r="K852" s="375"/>
      <c r="M852" s="2"/>
      <c r="N852" s="2"/>
    </row>
    <row r="853" spans="1:14" ht="18" customHeight="1" x14ac:dyDescent="0.35">
      <c r="A853"/>
      <c r="B853" s="17"/>
      <c r="C853" s="92" t="s">
        <v>641</v>
      </c>
      <c r="D853"/>
      <c r="E853" s="223">
        <v>1</v>
      </c>
      <c r="F853" s="202"/>
      <c r="G853" s="202"/>
      <c r="H853" s="202"/>
      <c r="I853" s="239"/>
      <c r="J853" s="266">
        <v>1</v>
      </c>
      <c r="K853" s="376"/>
      <c r="M853" s="2"/>
      <c r="N853" s="2"/>
    </row>
    <row r="854" spans="1:14" ht="18" customHeight="1" x14ac:dyDescent="0.35">
      <c r="A854"/>
      <c r="B854" s="17"/>
      <c r="C854" s="92" t="s">
        <v>642</v>
      </c>
      <c r="D854"/>
      <c r="E854" s="223">
        <v>1</v>
      </c>
      <c r="F854" s="202"/>
      <c r="G854" s="202"/>
      <c r="H854" s="202"/>
      <c r="I854" s="239"/>
      <c r="J854" s="266">
        <v>1</v>
      </c>
      <c r="K854" s="376"/>
      <c r="M854" s="2"/>
      <c r="N854" s="2"/>
    </row>
    <row r="855" spans="1:14" ht="18" customHeight="1" x14ac:dyDescent="0.35">
      <c r="A855"/>
      <c r="B855" s="17"/>
      <c r="C855" s="92" t="s">
        <v>643</v>
      </c>
      <c r="D855"/>
      <c r="E855" s="223">
        <v>1</v>
      </c>
      <c r="F855" s="202"/>
      <c r="G855" s="202"/>
      <c r="H855" s="202"/>
      <c r="I855" s="239"/>
      <c r="J855" s="266">
        <v>1</v>
      </c>
      <c r="K855" s="376"/>
      <c r="M855" s="2"/>
      <c r="N855" s="2"/>
    </row>
    <row r="856" spans="1:14" ht="18" customHeight="1" x14ac:dyDescent="0.35">
      <c r="A856"/>
      <c r="B856" s="17"/>
      <c r="C856" s="92" t="s">
        <v>644</v>
      </c>
      <c r="D856"/>
      <c r="E856" s="223">
        <v>1</v>
      </c>
      <c r="F856" s="202"/>
      <c r="G856" s="202"/>
      <c r="H856" s="202"/>
      <c r="I856" s="239"/>
      <c r="J856" s="266">
        <v>1</v>
      </c>
      <c r="K856" s="376"/>
      <c r="M856" s="2"/>
      <c r="N856" s="2"/>
    </row>
    <row r="857" spans="1:14" ht="18" customHeight="1" thickBot="1" x14ac:dyDescent="0.4">
      <c r="A857"/>
      <c r="B857" s="41"/>
      <c r="C857" s="88"/>
      <c r="D857" s="26"/>
      <c r="E857" s="310"/>
      <c r="F857" s="311"/>
      <c r="G857" s="311"/>
      <c r="H857" s="311"/>
      <c r="I857" s="315"/>
      <c r="J857" s="316"/>
      <c r="K857" s="367"/>
      <c r="M857" s="2"/>
      <c r="N857" s="2"/>
    </row>
    <row r="858" spans="1:14" ht="20.149999999999999" customHeight="1" x14ac:dyDescent="0.35">
      <c r="A858"/>
      <c r="B858" s="41"/>
      <c r="C858" s="132"/>
      <c r="D858" s="133"/>
      <c r="E858" s="195">
        <f t="shared" ref="E858:J858" si="16">SUM(E844:E857)</f>
        <v>12</v>
      </c>
      <c r="F858" s="195">
        <f t="shared" si="16"/>
        <v>1</v>
      </c>
      <c r="G858" s="195">
        <f t="shared" si="16"/>
        <v>0</v>
      </c>
      <c r="H858" s="195">
        <f t="shared" si="16"/>
        <v>0</v>
      </c>
      <c r="I858" s="195">
        <f t="shared" si="16"/>
        <v>0</v>
      </c>
      <c r="J858" s="195">
        <f t="shared" si="16"/>
        <v>13</v>
      </c>
      <c r="K858" s="133"/>
      <c r="M858" s="2"/>
      <c r="N858" s="2"/>
    </row>
    <row r="859" spans="1:14" ht="20.149999999999999" customHeight="1" x14ac:dyDescent="0.35">
      <c r="A859"/>
      <c r="B859" s="41"/>
      <c r="C859" s="40"/>
      <c r="D859" s="1"/>
      <c r="E859" s="265"/>
      <c r="F859" s="265"/>
      <c r="G859" s="265"/>
      <c r="H859" s="265"/>
      <c r="I859" s="265"/>
      <c r="J859" s="265"/>
      <c r="K859" s="185"/>
      <c r="L859" s="37"/>
      <c r="M859" s="39"/>
      <c r="N859" s="37"/>
    </row>
    <row r="860" spans="1:14" ht="20.149999999999999" customHeight="1" x14ac:dyDescent="0.35">
      <c r="A860"/>
      <c r="B860" s="117">
        <v>1.17</v>
      </c>
      <c r="C860" s="100" t="s">
        <v>645</v>
      </c>
      <c r="D860" s="21"/>
      <c r="E860" s="196"/>
      <c r="F860" s="196"/>
      <c r="G860" s="196"/>
      <c r="H860" s="196"/>
      <c r="I860" s="196"/>
      <c r="J860" s="196"/>
      <c r="K860" s="320"/>
      <c r="M860" s="39"/>
      <c r="N860" s="37"/>
    </row>
    <row r="861" spans="1:14" ht="20.149999999999999" customHeight="1" thickBot="1" x14ac:dyDescent="0.4">
      <c r="A861"/>
      <c r="B861" s="17"/>
      <c r="C861" s="28"/>
      <c r="D861" s="24"/>
      <c r="E861" s="211"/>
      <c r="F861" s="211"/>
      <c r="G861" s="211"/>
      <c r="H861" s="211"/>
      <c r="I861" s="211"/>
      <c r="J861" s="211"/>
      <c r="K861" s="330"/>
      <c r="M861" s="39"/>
      <c r="N861" s="37"/>
    </row>
    <row r="862" spans="1:14" ht="20.149999999999999" customHeight="1" x14ac:dyDescent="0.35">
      <c r="A862"/>
      <c r="B862" s="17"/>
      <c r="C862" s="68" t="s">
        <v>38</v>
      </c>
      <c r="D862" s="25"/>
      <c r="E862" s="224" t="s">
        <v>20</v>
      </c>
      <c r="F862" s="198" t="s">
        <v>24</v>
      </c>
      <c r="G862" s="198" t="s">
        <v>27</v>
      </c>
      <c r="H862" s="198" t="s">
        <v>29</v>
      </c>
      <c r="I862" s="199" t="s">
        <v>32</v>
      </c>
      <c r="J862" s="200" t="s">
        <v>35</v>
      </c>
      <c r="K862" s="374" t="s">
        <v>39</v>
      </c>
      <c r="M862" s="39"/>
      <c r="N862" s="37"/>
    </row>
    <row r="863" spans="1:14" ht="20.149999999999999" customHeight="1" x14ac:dyDescent="0.35">
      <c r="A863"/>
      <c r="B863" s="17"/>
      <c r="C863" s="105" t="s">
        <v>646</v>
      </c>
      <c r="D863" s="25"/>
      <c r="E863" s="223"/>
      <c r="F863" s="202"/>
      <c r="G863" s="202"/>
      <c r="H863" s="202"/>
      <c r="I863" s="203"/>
      <c r="J863" s="203"/>
      <c r="K863" s="376" t="s">
        <v>523</v>
      </c>
      <c r="M863" s="39"/>
      <c r="N863" s="37"/>
    </row>
    <row r="864" spans="1:14" ht="20.149999999999999" customHeight="1" x14ac:dyDescent="0.35">
      <c r="A864"/>
      <c r="B864" s="17"/>
      <c r="C864" s="105"/>
      <c r="D864" s="25"/>
      <c r="E864" s="223"/>
      <c r="F864" s="202"/>
      <c r="G864" s="202"/>
      <c r="H864" s="202"/>
      <c r="I864" s="203"/>
      <c r="J864" s="203"/>
      <c r="K864" s="376"/>
      <c r="M864" s="39"/>
      <c r="N864" s="37"/>
    </row>
    <row r="865" spans="1:14" ht="20.149999999999999" customHeight="1" thickBot="1" x14ac:dyDescent="0.4">
      <c r="A865" s="64"/>
      <c r="B865" s="17"/>
      <c r="C865" s="124"/>
      <c r="D865" s="24"/>
      <c r="E865" s="225"/>
      <c r="F865" s="226"/>
      <c r="G865" s="226"/>
      <c r="H865" s="226"/>
      <c r="I865" s="227"/>
      <c r="J865" s="227"/>
      <c r="K865" s="377"/>
    </row>
    <row r="866" spans="1:14" ht="20.149999999999999" customHeight="1" x14ac:dyDescent="0.35">
      <c r="A866" s="64"/>
      <c r="B866" s="17"/>
      <c r="C866" s="125"/>
      <c r="D866" s="24"/>
      <c r="E866" s="211">
        <f t="shared" ref="E866:J866" si="17">SUM(E863:E865)</f>
        <v>0</v>
      </c>
      <c r="F866" s="211">
        <f t="shared" si="17"/>
        <v>0</v>
      </c>
      <c r="G866" s="211">
        <f t="shared" si="17"/>
        <v>0</v>
      </c>
      <c r="H866" s="211">
        <f t="shared" si="17"/>
        <v>0</v>
      </c>
      <c r="I866" s="211">
        <f t="shared" si="17"/>
        <v>0</v>
      </c>
      <c r="J866" s="211">
        <f t="shared" si="17"/>
        <v>0</v>
      </c>
      <c r="K866" s="330"/>
    </row>
    <row r="867" spans="1:14" ht="20.149999999999999" customHeight="1" x14ac:dyDescent="0.35">
      <c r="A867"/>
      <c r="B867" s="41"/>
      <c r="C867" s="40"/>
      <c r="D867" s="1"/>
      <c r="E867" s="265"/>
      <c r="F867" s="265"/>
      <c r="G867" s="265"/>
      <c r="H867" s="265"/>
      <c r="I867" s="265"/>
      <c r="J867" s="265"/>
      <c r="K867" s="185"/>
      <c r="L867" s="37"/>
      <c r="M867" s="39"/>
      <c r="N867" s="37"/>
    </row>
    <row r="868" spans="1:14" ht="20.149999999999999" customHeight="1" x14ac:dyDescent="0.35">
      <c r="A868"/>
      <c r="B868" s="117">
        <v>1.18</v>
      </c>
      <c r="C868" s="100" t="s">
        <v>647</v>
      </c>
      <c r="D868" s="21"/>
      <c r="E868" s="196"/>
      <c r="F868" s="196"/>
      <c r="G868" s="196"/>
      <c r="H868" s="196"/>
      <c r="I868" s="196"/>
      <c r="J868" s="196"/>
      <c r="K868" s="320"/>
      <c r="M868" s="39"/>
      <c r="N868" s="37"/>
    </row>
    <row r="869" spans="1:14" ht="20.149999999999999" customHeight="1" thickBot="1" x14ac:dyDescent="0.4">
      <c r="A869"/>
      <c r="B869" s="17"/>
      <c r="C869" s="28"/>
      <c r="D869" s="24"/>
      <c r="E869" s="211"/>
      <c r="F869" s="211"/>
      <c r="G869" s="211"/>
      <c r="H869" s="211"/>
      <c r="I869" s="211"/>
      <c r="J869" s="211"/>
      <c r="K869" s="330"/>
      <c r="M869" s="39"/>
      <c r="N869" s="37"/>
    </row>
    <row r="870" spans="1:14" ht="20.149999999999999" customHeight="1" x14ac:dyDescent="0.35">
      <c r="A870"/>
      <c r="B870" s="17"/>
      <c r="C870" s="68" t="s">
        <v>38</v>
      </c>
      <c r="D870" s="25"/>
      <c r="E870" s="224" t="s">
        <v>20</v>
      </c>
      <c r="F870" s="198" t="s">
        <v>24</v>
      </c>
      <c r="G870" s="198" t="s">
        <v>27</v>
      </c>
      <c r="H870" s="198" t="s">
        <v>29</v>
      </c>
      <c r="I870" s="199" t="s">
        <v>32</v>
      </c>
      <c r="J870" s="200" t="s">
        <v>35</v>
      </c>
      <c r="K870" s="374" t="s">
        <v>39</v>
      </c>
      <c r="M870" s="39"/>
      <c r="N870" s="37"/>
    </row>
    <row r="871" spans="1:14" ht="20.149999999999999" customHeight="1" x14ac:dyDescent="0.35">
      <c r="A871"/>
      <c r="B871" s="17"/>
      <c r="C871" s="119" t="s">
        <v>445</v>
      </c>
      <c r="D871" s="133"/>
      <c r="E871" s="223">
        <v>1</v>
      </c>
      <c r="F871" s="202"/>
      <c r="G871" s="202"/>
      <c r="H871" s="202"/>
      <c r="I871" s="239"/>
      <c r="J871" s="266">
        <v>1</v>
      </c>
      <c r="K871" s="376"/>
      <c r="L871"/>
      <c r="M871" s="39"/>
      <c r="N871" s="37"/>
    </row>
    <row r="872" spans="1:14" ht="20.149999999999999" customHeight="1" x14ac:dyDescent="0.35">
      <c r="A872"/>
      <c r="B872" s="17"/>
      <c r="C872" s="108" t="s">
        <v>648</v>
      </c>
      <c r="D872" s="25"/>
      <c r="E872" s="223">
        <v>1</v>
      </c>
      <c r="F872" s="202"/>
      <c r="G872" s="202"/>
      <c r="H872" s="202"/>
      <c r="I872" s="239"/>
      <c r="J872" s="266">
        <v>1</v>
      </c>
      <c r="K872" s="376"/>
      <c r="M872" s="39"/>
      <c r="N872" s="37"/>
    </row>
    <row r="873" spans="1:14" ht="20.149999999999999" customHeight="1" x14ac:dyDescent="0.35">
      <c r="A873"/>
      <c r="B873" s="17"/>
      <c r="C873" s="105" t="s">
        <v>649</v>
      </c>
      <c r="D873" s="25"/>
      <c r="E873" s="223">
        <v>1</v>
      </c>
      <c r="F873" s="202"/>
      <c r="G873" s="202"/>
      <c r="H873" s="202"/>
      <c r="I873" s="239"/>
      <c r="J873" s="266">
        <v>1</v>
      </c>
      <c r="K873" s="376"/>
      <c r="M873" s="39"/>
      <c r="N873" s="37"/>
    </row>
    <row r="874" spans="1:14" ht="20.149999999999999" customHeight="1" x14ac:dyDescent="0.35">
      <c r="A874"/>
      <c r="B874" s="17"/>
      <c r="C874" s="105" t="s">
        <v>650</v>
      </c>
      <c r="D874" s="25"/>
      <c r="E874" s="223">
        <v>1</v>
      </c>
      <c r="F874" s="202"/>
      <c r="G874" s="202"/>
      <c r="H874" s="202"/>
      <c r="I874" s="239"/>
      <c r="J874" s="266">
        <v>1</v>
      </c>
      <c r="K874" s="376"/>
      <c r="M874" s="39"/>
      <c r="N874" s="37"/>
    </row>
    <row r="875" spans="1:14" ht="20.149999999999999" customHeight="1" x14ac:dyDescent="0.35">
      <c r="A875"/>
      <c r="B875" s="17"/>
      <c r="C875" s="105" t="s">
        <v>651</v>
      </c>
      <c r="D875" s="25"/>
      <c r="E875" s="223"/>
      <c r="F875" s="202">
        <v>1</v>
      </c>
      <c r="G875" s="202"/>
      <c r="H875" s="202"/>
      <c r="I875" s="239"/>
      <c r="J875" s="266">
        <v>1</v>
      </c>
      <c r="K875" s="375"/>
      <c r="M875" s="39"/>
      <c r="N875" s="37"/>
    </row>
    <row r="876" spans="1:14" ht="31" x14ac:dyDescent="0.35">
      <c r="A876"/>
      <c r="B876" s="17"/>
      <c r="C876" s="106" t="s">
        <v>652</v>
      </c>
      <c r="D876" s="25"/>
      <c r="E876" s="223">
        <v>1</v>
      </c>
      <c r="F876" s="202"/>
      <c r="G876" s="202"/>
      <c r="H876" s="202"/>
      <c r="I876" s="239"/>
      <c r="J876" s="266">
        <v>1</v>
      </c>
      <c r="K876" s="376"/>
      <c r="M876" s="39"/>
      <c r="N876" s="37"/>
    </row>
    <row r="877" spans="1:14" ht="20.149999999999999" customHeight="1" x14ac:dyDescent="0.35">
      <c r="A877"/>
      <c r="B877" s="17"/>
      <c r="C877" s="105" t="s">
        <v>653</v>
      </c>
      <c r="D877" s="25"/>
      <c r="E877" s="223">
        <v>1</v>
      </c>
      <c r="F877" s="202"/>
      <c r="G877" s="202"/>
      <c r="H877" s="202"/>
      <c r="I877" s="239"/>
      <c r="J877" s="266">
        <v>1</v>
      </c>
      <c r="K877" s="376"/>
      <c r="M877" s="39"/>
      <c r="N877" s="37"/>
    </row>
    <row r="878" spans="1:14" ht="20.149999999999999" customHeight="1" x14ac:dyDescent="0.35">
      <c r="A878"/>
      <c r="B878" s="17"/>
      <c r="C878" s="105" t="s">
        <v>654</v>
      </c>
      <c r="D878" s="25"/>
      <c r="E878" s="223">
        <v>1</v>
      </c>
      <c r="F878" s="202"/>
      <c r="G878" s="202"/>
      <c r="H878" s="202"/>
      <c r="I878" s="239"/>
      <c r="J878" s="266">
        <v>1</v>
      </c>
      <c r="K878" s="376"/>
      <c r="M878" s="39"/>
      <c r="N878" s="37"/>
    </row>
    <row r="879" spans="1:14" ht="20.149999999999999" customHeight="1" x14ac:dyDescent="0.35">
      <c r="A879"/>
      <c r="B879" s="17"/>
      <c r="C879" s="105" t="s">
        <v>655</v>
      </c>
      <c r="D879" s="25"/>
      <c r="E879" s="223">
        <v>1</v>
      </c>
      <c r="F879" s="202"/>
      <c r="G879" s="202"/>
      <c r="H879" s="202"/>
      <c r="I879" s="239"/>
      <c r="J879" s="266">
        <v>1</v>
      </c>
      <c r="K879" s="376"/>
      <c r="M879" s="39"/>
      <c r="N879" s="37"/>
    </row>
    <row r="880" spans="1:14" ht="20.149999999999999" customHeight="1" x14ac:dyDescent="0.35">
      <c r="A880"/>
      <c r="B880" s="17"/>
      <c r="C880" s="105" t="s">
        <v>656</v>
      </c>
      <c r="D880" s="25"/>
      <c r="E880" s="223">
        <v>1</v>
      </c>
      <c r="F880" s="202"/>
      <c r="G880" s="202"/>
      <c r="H880" s="202"/>
      <c r="I880" s="239"/>
      <c r="J880" s="266">
        <v>1</v>
      </c>
      <c r="K880" s="376"/>
      <c r="M880" s="39"/>
      <c r="N880" s="37"/>
    </row>
    <row r="881" spans="1:14" ht="20.149999999999999" customHeight="1" x14ac:dyDescent="0.35">
      <c r="A881"/>
      <c r="B881" s="17"/>
      <c r="C881" s="105" t="s">
        <v>657</v>
      </c>
      <c r="D881" s="25"/>
      <c r="E881" s="223">
        <v>1</v>
      </c>
      <c r="F881" s="202"/>
      <c r="G881" s="202"/>
      <c r="H881" s="202"/>
      <c r="I881" s="239"/>
      <c r="J881" s="266">
        <v>1</v>
      </c>
      <c r="K881" s="376"/>
      <c r="M881" s="39"/>
      <c r="N881" s="37"/>
    </row>
    <row r="882" spans="1:14" ht="20.149999999999999" customHeight="1" thickBot="1" x14ac:dyDescent="0.4">
      <c r="A882" s="64"/>
      <c r="B882" s="17"/>
      <c r="C882" s="124"/>
      <c r="D882" s="24"/>
      <c r="E882" s="225"/>
      <c r="F882" s="226"/>
      <c r="G882" s="226"/>
      <c r="H882" s="226"/>
      <c r="I882" s="227"/>
      <c r="J882" s="227"/>
      <c r="K882" s="377"/>
    </row>
    <row r="883" spans="1:14" ht="20.149999999999999" customHeight="1" x14ac:dyDescent="0.35">
      <c r="A883" s="64"/>
      <c r="B883" s="17"/>
      <c r="C883" s="125"/>
      <c r="D883" s="24"/>
      <c r="E883" s="211">
        <f t="shared" ref="E883:J883" si="18">SUM(E872:E882)</f>
        <v>9</v>
      </c>
      <c r="F883" s="211">
        <f t="shared" si="18"/>
        <v>1</v>
      </c>
      <c r="G883" s="211">
        <f t="shared" si="18"/>
        <v>0</v>
      </c>
      <c r="H883" s="211">
        <f t="shared" si="18"/>
        <v>0</v>
      </c>
      <c r="I883" s="211">
        <f t="shared" si="18"/>
        <v>0</v>
      </c>
      <c r="J883" s="211">
        <f t="shared" si="18"/>
        <v>10</v>
      </c>
      <c r="K883" s="330"/>
    </row>
    <row r="884" spans="1:14" ht="20.149999999999999" customHeight="1" x14ac:dyDescent="0.35">
      <c r="A884"/>
      <c r="B884" s="41"/>
      <c r="C884" s="40"/>
      <c r="D884" s="1"/>
      <c r="E884" s="265"/>
      <c r="F884" s="265"/>
      <c r="G884" s="265"/>
      <c r="H884" s="265"/>
      <c r="I884" s="265"/>
      <c r="J884" s="265"/>
      <c r="K884" s="185"/>
    </row>
    <row r="885" spans="1:14" ht="20.149999999999999" customHeight="1" x14ac:dyDescent="0.35">
      <c r="A885"/>
      <c r="B885" s="117">
        <v>1.19</v>
      </c>
      <c r="C885" s="100" t="s">
        <v>658</v>
      </c>
      <c r="D885" s="21"/>
      <c r="E885" s="196"/>
      <c r="F885" s="196"/>
      <c r="G885" s="196"/>
      <c r="H885" s="196"/>
      <c r="I885" s="196"/>
      <c r="J885" s="196"/>
      <c r="K885" s="320"/>
    </row>
    <row r="886" spans="1:14" ht="20.149999999999999" customHeight="1" thickBot="1" x14ac:dyDescent="0.4">
      <c r="A886"/>
      <c r="B886" s="17"/>
      <c r="C886" s="28"/>
      <c r="D886" s="24"/>
      <c r="E886" s="211"/>
      <c r="F886" s="211"/>
      <c r="G886" s="211"/>
      <c r="H886" s="211"/>
      <c r="I886" s="211"/>
      <c r="J886" s="211"/>
      <c r="K886" s="330"/>
    </row>
    <row r="887" spans="1:14" ht="20.149999999999999" customHeight="1" x14ac:dyDescent="0.35">
      <c r="A887"/>
      <c r="B887" s="17"/>
      <c r="C887" s="68" t="s">
        <v>38</v>
      </c>
      <c r="D887" s="25"/>
      <c r="E887" s="224" t="s">
        <v>20</v>
      </c>
      <c r="F887" s="198" t="s">
        <v>24</v>
      </c>
      <c r="G887" s="198" t="s">
        <v>27</v>
      </c>
      <c r="H887" s="198" t="s">
        <v>29</v>
      </c>
      <c r="I887" s="199" t="s">
        <v>32</v>
      </c>
      <c r="J887" s="200" t="s">
        <v>35</v>
      </c>
      <c r="K887" s="374" t="s">
        <v>39</v>
      </c>
    </row>
    <row r="888" spans="1:14" ht="31" x14ac:dyDescent="0.35">
      <c r="A888"/>
      <c r="B888" s="17"/>
      <c r="C888" s="106" t="s">
        <v>659</v>
      </c>
      <c r="D888" s="25"/>
      <c r="E888" s="223">
        <v>1</v>
      </c>
      <c r="F888" s="202"/>
      <c r="G888" s="202"/>
      <c r="H888" s="203"/>
      <c r="I888" s="247"/>
      <c r="J888" s="266">
        <v>1</v>
      </c>
      <c r="K888" s="378" t="s">
        <v>660</v>
      </c>
    </row>
    <row r="889" spans="1:14" ht="20.149999999999999" customHeight="1" x14ac:dyDescent="0.35">
      <c r="A889"/>
      <c r="B889" s="17"/>
      <c r="C889" s="105" t="s">
        <v>661</v>
      </c>
      <c r="D889" s="25"/>
      <c r="E889" s="223">
        <v>1</v>
      </c>
      <c r="F889" s="202"/>
      <c r="G889" s="202"/>
      <c r="H889" s="203"/>
      <c r="I889" s="248"/>
      <c r="J889" s="266">
        <v>1</v>
      </c>
      <c r="K889" s="375"/>
    </row>
    <row r="890" spans="1:14" ht="133.5" customHeight="1" x14ac:dyDescent="0.35">
      <c r="A890"/>
      <c r="B890" s="17"/>
      <c r="C890" s="105" t="s">
        <v>587</v>
      </c>
      <c r="D890" s="25"/>
      <c r="E890" s="223"/>
      <c r="F890" s="202">
        <v>1</v>
      </c>
      <c r="G890" s="202"/>
      <c r="H890" s="203"/>
      <c r="I890" s="248"/>
      <c r="J890" s="266"/>
      <c r="K890" s="378" t="s">
        <v>662</v>
      </c>
    </row>
    <row r="891" spans="1:14" ht="20.149999999999999" customHeight="1" x14ac:dyDescent="0.35">
      <c r="A891"/>
      <c r="B891" s="17"/>
      <c r="C891" s="105" t="s">
        <v>663</v>
      </c>
      <c r="D891" s="25"/>
      <c r="E891" s="223">
        <v>1</v>
      </c>
      <c r="F891" s="202"/>
      <c r="G891" s="202"/>
      <c r="H891" s="203"/>
      <c r="I891" s="248"/>
      <c r="J891" s="266">
        <v>1</v>
      </c>
      <c r="K891" s="375"/>
    </row>
    <row r="892" spans="1:14" ht="78" customHeight="1" x14ac:dyDescent="0.35">
      <c r="A892"/>
      <c r="B892" s="17"/>
      <c r="C892" s="105" t="s">
        <v>664</v>
      </c>
      <c r="D892" s="25"/>
      <c r="E892" s="223">
        <v>1</v>
      </c>
      <c r="F892" s="202"/>
      <c r="G892" s="202"/>
      <c r="H892" s="203"/>
      <c r="I892" s="248"/>
      <c r="J892" s="266">
        <v>1</v>
      </c>
      <c r="K892" s="379" t="s">
        <v>665</v>
      </c>
    </row>
    <row r="893" spans="1:14" ht="53.25" customHeight="1" x14ac:dyDescent="0.35">
      <c r="A893"/>
      <c r="B893" s="17"/>
      <c r="C893" s="105" t="s">
        <v>666</v>
      </c>
      <c r="D893" s="25"/>
      <c r="E893" s="223">
        <v>1</v>
      </c>
      <c r="F893" s="202"/>
      <c r="G893" s="202"/>
      <c r="H893" s="203"/>
      <c r="I893" s="248"/>
      <c r="J893" s="266">
        <v>1</v>
      </c>
      <c r="K893" s="380" t="s">
        <v>665</v>
      </c>
    </row>
    <row r="894" spans="1:14" ht="20.149999999999999" customHeight="1" x14ac:dyDescent="0.35">
      <c r="A894"/>
      <c r="B894" s="17"/>
      <c r="C894" s="108" t="s">
        <v>667</v>
      </c>
      <c r="D894" s="25"/>
      <c r="E894" s="223">
        <v>1</v>
      </c>
      <c r="F894" s="202"/>
      <c r="G894" s="202"/>
      <c r="H894" s="203"/>
      <c r="I894" s="248"/>
      <c r="J894" s="266">
        <v>1</v>
      </c>
      <c r="K894" s="375"/>
    </row>
    <row r="895" spans="1:14" ht="20.149999999999999" customHeight="1" x14ac:dyDescent="0.35">
      <c r="A895"/>
      <c r="B895" s="17"/>
      <c r="C895" s="108" t="s">
        <v>668</v>
      </c>
      <c r="D895" s="25"/>
      <c r="E895" s="223">
        <v>1</v>
      </c>
      <c r="F895" s="202"/>
      <c r="G895" s="202"/>
      <c r="H895" s="203"/>
      <c r="I895" s="248"/>
      <c r="J895" s="266">
        <v>1</v>
      </c>
      <c r="K895" s="375"/>
    </row>
    <row r="896" spans="1:14" ht="20.149999999999999" customHeight="1" x14ac:dyDescent="0.35">
      <c r="A896"/>
      <c r="B896" s="17"/>
      <c r="C896" s="108" t="s">
        <v>669</v>
      </c>
      <c r="D896" s="25"/>
      <c r="E896" s="223">
        <v>1</v>
      </c>
      <c r="F896" s="202"/>
      <c r="G896" s="202"/>
      <c r="H896" s="203"/>
      <c r="I896" s="248"/>
      <c r="J896" s="266">
        <v>1</v>
      </c>
      <c r="K896" s="375"/>
    </row>
    <row r="897" spans="1:11" ht="20.149999999999999" customHeight="1" x14ac:dyDescent="0.35">
      <c r="A897"/>
      <c r="B897" s="17"/>
      <c r="C897" s="108" t="s">
        <v>670</v>
      </c>
      <c r="D897" s="25"/>
      <c r="E897" s="223">
        <v>1</v>
      </c>
      <c r="F897" s="202"/>
      <c r="G897" s="202"/>
      <c r="H897" s="203"/>
      <c r="I897" s="248"/>
      <c r="J897" s="266">
        <v>1</v>
      </c>
      <c r="K897" s="375"/>
    </row>
    <row r="898" spans="1:11" ht="20.149999999999999" customHeight="1" x14ac:dyDescent="0.35">
      <c r="A898"/>
      <c r="B898" s="17"/>
      <c r="C898" s="105" t="s">
        <v>671</v>
      </c>
      <c r="D898" s="25"/>
      <c r="E898" s="223">
        <v>1</v>
      </c>
      <c r="F898" s="202"/>
      <c r="G898" s="202"/>
      <c r="H898" s="203"/>
      <c r="I898" s="248"/>
      <c r="J898" s="266">
        <v>1</v>
      </c>
      <c r="K898" s="376"/>
    </row>
    <row r="899" spans="1:11" ht="20.149999999999999" customHeight="1" x14ac:dyDescent="0.35">
      <c r="A899"/>
      <c r="B899" s="17"/>
      <c r="C899" s="105" t="s">
        <v>672</v>
      </c>
      <c r="D899" s="25"/>
      <c r="E899" s="223">
        <v>1</v>
      </c>
      <c r="F899" s="202"/>
      <c r="G899" s="202"/>
      <c r="H899" s="203"/>
      <c r="I899" s="248"/>
      <c r="J899" s="266">
        <v>1</v>
      </c>
      <c r="K899" s="376"/>
    </row>
    <row r="900" spans="1:11" ht="83.25" customHeight="1" x14ac:dyDescent="0.35">
      <c r="A900"/>
      <c r="B900" s="17"/>
      <c r="C900" s="106" t="s">
        <v>673</v>
      </c>
      <c r="D900" s="25"/>
      <c r="E900" s="223">
        <v>1</v>
      </c>
      <c r="F900" s="202"/>
      <c r="G900" s="202"/>
      <c r="H900" s="203"/>
      <c r="I900" s="249"/>
      <c r="J900" s="266">
        <v>1</v>
      </c>
      <c r="K900" s="378" t="s">
        <v>674</v>
      </c>
    </row>
    <row r="901" spans="1:11" ht="84" customHeight="1" x14ac:dyDescent="0.35">
      <c r="A901"/>
      <c r="B901" s="17"/>
      <c r="C901" s="106" t="s">
        <v>675</v>
      </c>
      <c r="D901" s="25"/>
      <c r="E901" s="223">
        <v>1</v>
      </c>
      <c r="F901" s="202"/>
      <c r="G901" s="202"/>
      <c r="H901" s="202"/>
      <c r="I901" s="250"/>
      <c r="J901" s="266">
        <v>1</v>
      </c>
      <c r="K901" s="378" t="s">
        <v>674</v>
      </c>
    </row>
    <row r="902" spans="1:11" ht="20.149999999999999" customHeight="1" x14ac:dyDescent="0.35">
      <c r="A902"/>
      <c r="B902" s="17"/>
      <c r="C902" s="105" t="s">
        <v>676</v>
      </c>
      <c r="D902" s="25"/>
      <c r="E902" s="223">
        <v>1</v>
      </c>
      <c r="F902" s="202"/>
      <c r="G902" s="202"/>
      <c r="H902" s="202"/>
      <c r="I902" s="239"/>
      <c r="J902" s="266">
        <v>1</v>
      </c>
      <c r="K902" s="376"/>
    </row>
    <row r="903" spans="1:11" ht="20.149999999999999" customHeight="1" x14ac:dyDescent="0.35">
      <c r="A903"/>
      <c r="B903" s="17"/>
      <c r="C903" s="105" t="s">
        <v>677</v>
      </c>
      <c r="D903" s="25"/>
      <c r="E903" s="223">
        <v>1</v>
      </c>
      <c r="F903" s="202"/>
      <c r="G903" s="202"/>
      <c r="H903" s="202"/>
      <c r="I903" s="239"/>
      <c r="J903" s="266">
        <v>1</v>
      </c>
      <c r="K903" s="376"/>
    </row>
    <row r="904" spans="1:11" ht="31" x14ac:dyDescent="0.35">
      <c r="A904"/>
      <c r="B904" s="17"/>
      <c r="C904" s="106" t="s">
        <v>678</v>
      </c>
      <c r="D904" s="25"/>
      <c r="E904" s="223">
        <v>1</v>
      </c>
      <c r="F904" s="202"/>
      <c r="G904" s="202"/>
      <c r="H904" s="202"/>
      <c r="I904" s="239"/>
      <c r="J904" s="266">
        <v>1</v>
      </c>
      <c r="K904" s="376"/>
    </row>
    <row r="905" spans="1:11" ht="20.149999999999999" customHeight="1" x14ac:dyDescent="0.35">
      <c r="A905"/>
      <c r="B905" s="17"/>
      <c r="C905" s="105" t="s">
        <v>679</v>
      </c>
      <c r="D905" s="25"/>
      <c r="E905" s="223">
        <v>1</v>
      </c>
      <c r="F905" s="202"/>
      <c r="G905" s="202"/>
      <c r="H905" s="202"/>
      <c r="I905" s="239"/>
      <c r="J905" s="266">
        <v>1</v>
      </c>
      <c r="K905" s="376"/>
    </row>
    <row r="906" spans="1:11" ht="20.149999999999999" customHeight="1" x14ac:dyDescent="0.35">
      <c r="A906"/>
      <c r="B906" s="17"/>
      <c r="C906" s="94" t="s">
        <v>680</v>
      </c>
      <c r="D906" s="25"/>
      <c r="E906" s="223">
        <v>1</v>
      </c>
      <c r="F906" s="202"/>
      <c r="G906" s="202"/>
      <c r="H906" s="202"/>
      <c r="I906" s="239"/>
      <c r="J906" s="266">
        <v>1</v>
      </c>
      <c r="K906" s="375"/>
    </row>
    <row r="907" spans="1:11" ht="20.149999999999999" customHeight="1" x14ac:dyDescent="0.35">
      <c r="A907"/>
      <c r="B907" s="17"/>
      <c r="C907" s="94" t="s">
        <v>681</v>
      </c>
      <c r="D907" s="25"/>
      <c r="E907" s="223"/>
      <c r="F907" s="202">
        <v>1</v>
      </c>
      <c r="G907" s="202"/>
      <c r="H907" s="202"/>
      <c r="I907" s="239"/>
      <c r="J907" s="266">
        <v>1</v>
      </c>
      <c r="K907" s="375" t="s">
        <v>682</v>
      </c>
    </row>
    <row r="908" spans="1:11" ht="20.149999999999999" customHeight="1" x14ac:dyDescent="0.35">
      <c r="A908"/>
      <c r="B908" s="17"/>
      <c r="C908" s="94" t="s">
        <v>683</v>
      </c>
      <c r="D908" s="25"/>
      <c r="E908" s="223">
        <v>1</v>
      </c>
      <c r="F908" s="202"/>
      <c r="G908" s="202"/>
      <c r="H908" s="202"/>
      <c r="I908" s="239"/>
      <c r="J908" s="266">
        <v>1</v>
      </c>
      <c r="K908" s="375"/>
    </row>
    <row r="909" spans="1:11" ht="20.149999999999999" customHeight="1" x14ac:dyDescent="0.35">
      <c r="A909"/>
      <c r="B909" s="17"/>
      <c r="C909" s="94" t="s">
        <v>684</v>
      </c>
      <c r="D909" s="25"/>
      <c r="E909" s="223">
        <v>1</v>
      </c>
      <c r="F909" s="202"/>
      <c r="G909" s="202"/>
      <c r="H909" s="202"/>
      <c r="I909" s="239"/>
      <c r="J909" s="266">
        <v>1</v>
      </c>
      <c r="K909" s="379" t="s">
        <v>665</v>
      </c>
    </row>
    <row r="910" spans="1:11" ht="20.149999999999999" customHeight="1" x14ac:dyDescent="0.35">
      <c r="A910"/>
      <c r="B910" s="17"/>
      <c r="C910" s="94" t="s">
        <v>685</v>
      </c>
      <c r="D910" s="25"/>
      <c r="E910" s="223"/>
      <c r="F910" s="202"/>
      <c r="G910" s="202"/>
      <c r="H910" s="202">
        <v>1</v>
      </c>
      <c r="I910" s="239"/>
      <c r="J910" s="266">
        <v>1</v>
      </c>
      <c r="K910" s="379" t="s">
        <v>665</v>
      </c>
    </row>
    <row r="911" spans="1:11" ht="20.149999999999999" customHeight="1" x14ac:dyDescent="0.35">
      <c r="A911"/>
      <c r="B911" s="17"/>
      <c r="C911" s="94" t="s">
        <v>686</v>
      </c>
      <c r="D911" s="25"/>
      <c r="E911" s="223">
        <v>1</v>
      </c>
      <c r="F911" s="202"/>
      <c r="G911" s="202"/>
      <c r="H911" s="202"/>
      <c r="I911" s="239"/>
      <c r="J911" s="266">
        <v>1</v>
      </c>
      <c r="K911" s="379" t="s">
        <v>665</v>
      </c>
    </row>
    <row r="912" spans="1:11" ht="20.149999999999999" customHeight="1" x14ac:dyDescent="0.35">
      <c r="A912"/>
      <c r="B912" s="17"/>
      <c r="C912" s="94" t="s">
        <v>687</v>
      </c>
      <c r="D912" s="25"/>
      <c r="E912" s="223">
        <v>1</v>
      </c>
      <c r="F912" s="202"/>
      <c r="G912" s="202"/>
      <c r="H912" s="202"/>
      <c r="I912" s="239"/>
      <c r="J912" s="266">
        <v>1</v>
      </c>
      <c r="K912" s="376"/>
    </row>
    <row r="913" spans="1:11" ht="20.149999999999999" customHeight="1" x14ac:dyDescent="0.35">
      <c r="A913"/>
      <c r="B913" s="17"/>
      <c r="C913" s="94" t="s">
        <v>688</v>
      </c>
      <c r="D913" s="25"/>
      <c r="E913" s="223">
        <v>1</v>
      </c>
      <c r="F913" s="202"/>
      <c r="G913" s="202"/>
      <c r="H913" s="202"/>
      <c r="I913" s="239"/>
      <c r="J913" s="266">
        <v>1</v>
      </c>
      <c r="K913" s="376"/>
    </row>
    <row r="914" spans="1:11" ht="20.149999999999999" customHeight="1" x14ac:dyDescent="0.35">
      <c r="A914"/>
      <c r="B914" s="17"/>
      <c r="C914" s="94" t="s">
        <v>689</v>
      </c>
      <c r="D914" s="25"/>
      <c r="E914" s="223">
        <v>1</v>
      </c>
      <c r="F914" s="202"/>
      <c r="G914" s="202"/>
      <c r="H914" s="202"/>
      <c r="I914" s="239"/>
      <c r="J914" s="266">
        <v>1</v>
      </c>
      <c r="K914" s="376"/>
    </row>
    <row r="915" spans="1:11" ht="20.149999999999999" customHeight="1" x14ac:dyDescent="0.35">
      <c r="A915"/>
      <c r="B915" s="17"/>
      <c r="C915" s="94" t="s">
        <v>690</v>
      </c>
      <c r="D915" s="25"/>
      <c r="E915" s="223">
        <v>1</v>
      </c>
      <c r="F915" s="202"/>
      <c r="G915" s="202"/>
      <c r="H915" s="202"/>
      <c r="I915" s="239"/>
      <c r="J915" s="266">
        <v>1</v>
      </c>
      <c r="K915" s="376"/>
    </row>
    <row r="916" spans="1:11" ht="20.149999999999999" customHeight="1" x14ac:dyDescent="0.35">
      <c r="A916"/>
      <c r="B916" s="17"/>
      <c r="C916" s="94" t="s">
        <v>691</v>
      </c>
      <c r="D916" s="25"/>
      <c r="E916" s="223">
        <v>1</v>
      </c>
      <c r="F916" s="202"/>
      <c r="G916" s="202"/>
      <c r="H916" s="202"/>
      <c r="I916" s="239"/>
      <c r="J916" s="266">
        <v>1</v>
      </c>
      <c r="K916" s="375"/>
    </row>
    <row r="917" spans="1:11" ht="20.149999999999999" customHeight="1" x14ac:dyDescent="0.35">
      <c r="A917"/>
      <c r="B917" s="17"/>
      <c r="C917" s="94" t="s">
        <v>692</v>
      </c>
      <c r="D917" s="25"/>
      <c r="E917" s="223">
        <v>1</v>
      </c>
      <c r="F917" s="202"/>
      <c r="G917" s="202"/>
      <c r="H917" s="202"/>
      <c r="I917" s="239"/>
      <c r="J917" s="266">
        <v>1</v>
      </c>
      <c r="K917" s="375"/>
    </row>
    <row r="918" spans="1:11" ht="20.149999999999999" customHeight="1" x14ac:dyDescent="0.35">
      <c r="A918"/>
      <c r="B918" s="17"/>
      <c r="C918" s="94" t="s">
        <v>693</v>
      </c>
      <c r="D918" s="25"/>
      <c r="E918" s="223">
        <v>1</v>
      </c>
      <c r="F918" s="202"/>
      <c r="G918" s="202"/>
      <c r="H918" s="202"/>
      <c r="I918" s="239"/>
      <c r="J918" s="266">
        <v>1</v>
      </c>
      <c r="K918" s="376"/>
    </row>
    <row r="919" spans="1:11" ht="20.149999999999999" customHeight="1" x14ac:dyDescent="0.35">
      <c r="A919"/>
      <c r="B919" s="17"/>
      <c r="C919" s="105" t="s">
        <v>611</v>
      </c>
      <c r="D919"/>
      <c r="E919" s="223">
        <v>1</v>
      </c>
      <c r="F919" s="202"/>
      <c r="G919" s="202"/>
      <c r="H919" s="202"/>
      <c r="I919" s="239"/>
      <c r="J919" s="266">
        <v>1</v>
      </c>
      <c r="K919" s="376"/>
    </row>
    <row r="920" spans="1:11" ht="20.149999999999999" customHeight="1" x14ac:dyDescent="0.35">
      <c r="A920"/>
      <c r="B920" s="17"/>
      <c r="C920" s="105" t="s">
        <v>612</v>
      </c>
      <c r="E920" s="223">
        <v>1</v>
      </c>
      <c r="F920" s="202"/>
      <c r="G920" s="202"/>
      <c r="H920" s="202"/>
      <c r="I920" s="239"/>
      <c r="J920" s="266">
        <v>1</v>
      </c>
      <c r="K920" s="376"/>
    </row>
    <row r="921" spans="1:11" ht="20.149999999999999" customHeight="1" x14ac:dyDescent="0.35">
      <c r="A921"/>
      <c r="B921" s="41"/>
      <c r="C921" s="105" t="s">
        <v>694</v>
      </c>
      <c r="D921" s="1"/>
      <c r="E921" s="223">
        <v>1</v>
      </c>
      <c r="F921" s="202"/>
      <c r="G921" s="202"/>
      <c r="H921" s="202"/>
      <c r="I921" s="239"/>
      <c r="J921" s="266">
        <v>1</v>
      </c>
      <c r="K921" s="376"/>
    </row>
    <row r="922" spans="1:11" ht="20.149999999999999" customHeight="1" x14ac:dyDescent="0.35">
      <c r="A922"/>
      <c r="B922" s="41"/>
      <c r="C922" s="105" t="s">
        <v>695</v>
      </c>
      <c r="D922" s="1"/>
      <c r="E922" s="223">
        <v>1</v>
      </c>
      <c r="F922" s="202"/>
      <c r="G922" s="202"/>
      <c r="H922" s="202"/>
      <c r="I922" s="239"/>
      <c r="J922" s="266">
        <v>1</v>
      </c>
      <c r="K922" s="376"/>
    </row>
    <row r="923" spans="1:11" ht="20.149999999999999" customHeight="1" x14ac:dyDescent="0.35">
      <c r="A923"/>
      <c r="B923" s="41"/>
      <c r="C923" s="94" t="s">
        <v>696</v>
      </c>
      <c r="D923" s="1"/>
      <c r="E923" s="223">
        <v>1</v>
      </c>
      <c r="F923" s="202"/>
      <c r="G923" s="202"/>
      <c r="H923" s="202"/>
      <c r="I923" s="239"/>
      <c r="J923" s="266">
        <v>1</v>
      </c>
      <c r="K923" s="376"/>
    </row>
    <row r="924" spans="1:11" ht="138.75" customHeight="1" x14ac:dyDescent="0.35">
      <c r="A924"/>
      <c r="B924" s="41"/>
      <c r="C924" s="94" t="s">
        <v>697</v>
      </c>
      <c r="D924" s="1"/>
      <c r="E924" s="223"/>
      <c r="F924" s="202"/>
      <c r="G924" s="202"/>
      <c r="H924" s="202">
        <v>1</v>
      </c>
      <c r="I924" s="239"/>
      <c r="J924" s="266">
        <v>1</v>
      </c>
      <c r="K924" s="378" t="s">
        <v>698</v>
      </c>
    </row>
    <row r="925" spans="1:11" ht="20.149999999999999" customHeight="1" thickBot="1" x14ac:dyDescent="0.4">
      <c r="A925" s="64"/>
      <c r="B925" s="17"/>
      <c r="C925" s="124"/>
      <c r="D925" s="24"/>
      <c r="E925" s="225"/>
      <c r="F925" s="226"/>
      <c r="G925" s="226"/>
      <c r="H925" s="226"/>
      <c r="I925" s="227"/>
      <c r="J925" s="227"/>
      <c r="K925" s="377"/>
    </row>
    <row r="926" spans="1:11" ht="20.149999999999999" customHeight="1" x14ac:dyDescent="0.35">
      <c r="A926" s="64"/>
      <c r="B926" s="17"/>
      <c r="C926" s="125"/>
      <c r="D926" s="24"/>
      <c r="E926" s="211">
        <f t="shared" ref="E926:J926" si="19">SUM(E888:E925)</f>
        <v>33</v>
      </c>
      <c r="F926" s="211">
        <f t="shared" si="19"/>
        <v>2</v>
      </c>
      <c r="G926" s="211">
        <f t="shared" si="19"/>
        <v>0</v>
      </c>
      <c r="H926" s="211">
        <f t="shared" si="19"/>
        <v>2</v>
      </c>
      <c r="I926" s="211">
        <f t="shared" si="19"/>
        <v>0</v>
      </c>
      <c r="J926" s="211">
        <f t="shared" si="19"/>
        <v>36</v>
      </c>
      <c r="K926" s="330"/>
    </row>
    <row r="927" spans="1:11" ht="20.149999999999999" customHeight="1" x14ac:dyDescent="0.35">
      <c r="A927"/>
      <c r="B927" s="41"/>
      <c r="C927" s="40"/>
      <c r="D927" s="1"/>
      <c r="E927" s="265"/>
      <c r="F927" s="265"/>
      <c r="G927" s="265"/>
      <c r="H927" s="265"/>
      <c r="I927" s="265"/>
      <c r="J927" s="265"/>
      <c r="K927" s="185"/>
    </row>
    <row r="928" spans="1:11" ht="20.149999999999999" customHeight="1" x14ac:dyDescent="0.35">
      <c r="A928"/>
      <c r="B928" s="136">
        <v>1.2</v>
      </c>
      <c r="C928" s="100" t="s">
        <v>699</v>
      </c>
      <c r="D928" s="21"/>
      <c r="E928" s="196"/>
      <c r="F928" s="196"/>
      <c r="G928" s="196"/>
      <c r="H928" s="196"/>
      <c r="I928" s="196"/>
      <c r="J928" s="196"/>
      <c r="K928" s="320"/>
    </row>
    <row r="929" spans="1:11" ht="20.149999999999999" customHeight="1" thickBot="1" x14ac:dyDescent="0.4">
      <c r="A929"/>
      <c r="B929" s="17"/>
      <c r="C929" s="28"/>
      <c r="D929" s="24"/>
      <c r="E929" s="211"/>
      <c r="F929" s="211"/>
      <c r="G929" s="211"/>
      <c r="H929" s="211"/>
      <c r="I929" s="211"/>
      <c r="J929" s="211"/>
      <c r="K929" s="330"/>
    </row>
    <row r="930" spans="1:11" ht="20.149999999999999" customHeight="1" x14ac:dyDescent="0.35">
      <c r="A930"/>
      <c r="B930" s="17"/>
      <c r="C930" s="68" t="s">
        <v>38</v>
      </c>
      <c r="D930" s="25"/>
      <c r="E930" s="224" t="s">
        <v>20</v>
      </c>
      <c r="F930" s="198" t="s">
        <v>24</v>
      </c>
      <c r="G930" s="198" t="s">
        <v>27</v>
      </c>
      <c r="H930" s="198" t="s">
        <v>29</v>
      </c>
      <c r="I930" s="199" t="s">
        <v>32</v>
      </c>
      <c r="J930" s="200" t="s">
        <v>35</v>
      </c>
      <c r="K930" s="374" t="s">
        <v>39</v>
      </c>
    </row>
    <row r="931" spans="1:11" ht="39" customHeight="1" x14ac:dyDescent="0.35">
      <c r="A931"/>
      <c r="B931" s="17"/>
      <c r="C931" s="105" t="s">
        <v>62</v>
      </c>
      <c r="D931" s="25"/>
      <c r="E931" s="223">
        <v>1</v>
      </c>
      <c r="F931" s="202"/>
      <c r="G931" s="202"/>
      <c r="H931" s="202"/>
      <c r="I931" s="239"/>
      <c r="J931" s="266">
        <v>1</v>
      </c>
      <c r="K931" s="378"/>
    </row>
    <row r="932" spans="1:11" ht="20.149999999999999" customHeight="1" x14ac:dyDescent="0.35">
      <c r="A932"/>
      <c r="B932" s="17"/>
      <c r="C932" s="108" t="s">
        <v>700</v>
      </c>
      <c r="D932" s="25"/>
      <c r="E932" s="223">
        <v>1</v>
      </c>
      <c r="F932" s="202"/>
      <c r="G932" s="202"/>
      <c r="H932" s="202"/>
      <c r="I932" s="239"/>
      <c r="J932" s="266">
        <v>1</v>
      </c>
      <c r="K932" s="376"/>
    </row>
    <row r="933" spans="1:11" ht="20.149999999999999" customHeight="1" x14ac:dyDescent="0.35">
      <c r="A933"/>
      <c r="B933" s="17"/>
      <c r="C933" s="108" t="s">
        <v>460</v>
      </c>
      <c r="D933" s="25"/>
      <c r="E933" s="223">
        <v>1</v>
      </c>
      <c r="F933" s="202"/>
      <c r="G933" s="202"/>
      <c r="H933" s="202"/>
      <c r="I933" s="239"/>
      <c r="J933" s="266">
        <v>1</v>
      </c>
      <c r="K933" s="376"/>
    </row>
    <row r="934" spans="1:11" ht="20.149999999999999" customHeight="1" x14ac:dyDescent="0.35">
      <c r="A934"/>
      <c r="B934" s="17"/>
      <c r="C934" s="108" t="s">
        <v>701</v>
      </c>
      <c r="D934" s="25"/>
      <c r="E934" s="223">
        <v>1</v>
      </c>
      <c r="F934" s="202"/>
      <c r="G934" s="202"/>
      <c r="H934" s="202"/>
      <c r="I934" s="239"/>
      <c r="J934" s="266">
        <v>1</v>
      </c>
      <c r="K934" s="376"/>
    </row>
    <row r="935" spans="1:11" ht="20.149999999999999" customHeight="1" x14ac:dyDescent="0.35">
      <c r="A935"/>
      <c r="B935" s="17"/>
      <c r="C935" s="108" t="s">
        <v>702</v>
      </c>
      <c r="D935" s="25"/>
      <c r="E935" s="223"/>
      <c r="F935" s="202">
        <v>1</v>
      </c>
      <c r="G935" s="202"/>
      <c r="H935" s="202"/>
      <c r="I935" s="239"/>
      <c r="J935" s="266">
        <v>1</v>
      </c>
      <c r="K935" s="375"/>
    </row>
    <row r="936" spans="1:11" ht="20.149999999999999" customHeight="1" x14ac:dyDescent="0.35">
      <c r="A936"/>
      <c r="B936" s="17"/>
      <c r="C936" s="108" t="s">
        <v>703</v>
      </c>
      <c r="D936" s="25"/>
      <c r="E936" s="223">
        <v>1</v>
      </c>
      <c r="F936" s="202"/>
      <c r="G936" s="202"/>
      <c r="H936" s="202"/>
      <c r="I936" s="239"/>
      <c r="J936" s="266">
        <v>1</v>
      </c>
      <c r="K936" s="375"/>
    </row>
    <row r="937" spans="1:11" ht="20.149999999999999" customHeight="1" x14ac:dyDescent="0.35">
      <c r="A937"/>
      <c r="B937" s="17"/>
      <c r="C937" s="108" t="s">
        <v>413</v>
      </c>
      <c r="D937" s="25"/>
      <c r="E937" s="223">
        <v>1</v>
      </c>
      <c r="F937" s="202"/>
      <c r="G937" s="202"/>
      <c r="H937" s="202"/>
      <c r="I937" s="239"/>
      <c r="J937" s="266">
        <v>1</v>
      </c>
      <c r="K937" s="376"/>
    </row>
    <row r="938" spans="1:11" ht="20.149999999999999" customHeight="1" x14ac:dyDescent="0.35">
      <c r="A938"/>
      <c r="B938" s="17"/>
      <c r="C938" s="108" t="s">
        <v>704</v>
      </c>
      <c r="D938" s="25"/>
      <c r="E938" s="223">
        <v>1</v>
      </c>
      <c r="F938" s="202"/>
      <c r="G938" s="202"/>
      <c r="H938" s="202"/>
      <c r="I938" s="239"/>
      <c r="J938" s="266">
        <v>1</v>
      </c>
      <c r="K938" s="376"/>
    </row>
    <row r="939" spans="1:11" ht="20.149999999999999" customHeight="1" x14ac:dyDescent="0.35">
      <c r="A939"/>
      <c r="B939" s="17"/>
      <c r="C939" s="108" t="s">
        <v>705</v>
      </c>
      <c r="D939" s="25"/>
      <c r="E939" s="223">
        <v>1</v>
      </c>
      <c r="F939" s="202"/>
      <c r="G939" s="202"/>
      <c r="H939" s="202"/>
      <c r="I939" s="239"/>
      <c r="J939" s="266">
        <v>1</v>
      </c>
      <c r="K939" s="375"/>
    </row>
    <row r="940" spans="1:11" ht="20.149999999999999" customHeight="1" x14ac:dyDescent="0.35">
      <c r="A940"/>
      <c r="B940" s="17"/>
      <c r="C940" s="105" t="s">
        <v>706</v>
      </c>
      <c r="D940" s="25"/>
      <c r="E940" s="223">
        <v>1</v>
      </c>
      <c r="F940" s="202"/>
      <c r="G940" s="202"/>
      <c r="H940" s="202"/>
      <c r="I940" s="239"/>
      <c r="J940" s="266">
        <v>1</v>
      </c>
      <c r="K940" s="376"/>
    </row>
    <row r="941" spans="1:11" ht="20.149999999999999" customHeight="1" x14ac:dyDescent="0.35">
      <c r="A941"/>
      <c r="B941" s="17"/>
      <c r="C941" s="105" t="s">
        <v>707</v>
      </c>
      <c r="D941" s="25"/>
      <c r="E941" s="223">
        <v>1</v>
      </c>
      <c r="F941" s="202"/>
      <c r="G941" s="202"/>
      <c r="H941" s="202"/>
      <c r="I941" s="239"/>
      <c r="J941" s="266">
        <v>1</v>
      </c>
      <c r="K941" s="376"/>
    </row>
    <row r="942" spans="1:11" ht="20.149999999999999" customHeight="1" x14ac:dyDescent="0.35">
      <c r="A942"/>
      <c r="B942" s="17"/>
      <c r="C942" s="108" t="s">
        <v>708</v>
      </c>
      <c r="D942" s="25"/>
      <c r="E942" s="223">
        <v>1</v>
      </c>
      <c r="F942" s="202"/>
      <c r="G942" s="202"/>
      <c r="H942" s="202"/>
      <c r="I942" s="239"/>
      <c r="J942" s="266">
        <v>1</v>
      </c>
      <c r="K942" s="376"/>
    </row>
    <row r="943" spans="1:11" ht="20.149999999999999" customHeight="1" x14ac:dyDescent="0.35">
      <c r="A943"/>
      <c r="B943" s="17"/>
      <c r="C943" s="108" t="s">
        <v>709</v>
      </c>
      <c r="D943" s="25"/>
      <c r="E943" s="223">
        <v>1</v>
      </c>
      <c r="F943" s="202"/>
      <c r="G943" s="202"/>
      <c r="H943" s="202"/>
      <c r="I943" s="239"/>
      <c r="J943" s="266">
        <v>1</v>
      </c>
      <c r="K943" s="376"/>
    </row>
    <row r="944" spans="1:11" ht="20.149999999999999" customHeight="1" x14ac:dyDescent="0.35">
      <c r="A944"/>
      <c r="B944" s="17"/>
      <c r="C944" s="108" t="s">
        <v>710</v>
      </c>
      <c r="D944" s="25"/>
      <c r="E944" s="223">
        <v>1</v>
      </c>
      <c r="F944" s="202"/>
      <c r="G944" s="202"/>
      <c r="H944" s="202"/>
      <c r="I944" s="239"/>
      <c r="J944" s="266">
        <v>1</v>
      </c>
      <c r="K944" s="376"/>
    </row>
    <row r="945" spans="1:11" ht="20.149999999999999" customHeight="1" thickBot="1" x14ac:dyDescent="0.4">
      <c r="A945" s="64"/>
      <c r="B945" s="17"/>
      <c r="C945" s="124"/>
      <c r="D945" s="24"/>
      <c r="E945" s="225"/>
      <c r="F945" s="226"/>
      <c r="G945" s="226"/>
      <c r="H945" s="226"/>
      <c r="I945" s="261"/>
      <c r="J945" s="260"/>
      <c r="K945" s="377"/>
    </row>
    <row r="946" spans="1:11" ht="20.149999999999999" customHeight="1" x14ac:dyDescent="0.35">
      <c r="A946" s="64"/>
      <c r="B946" s="17"/>
      <c r="C946" s="125"/>
      <c r="D946" s="24"/>
      <c r="E946" s="211">
        <f t="shared" ref="E946:J946" si="20">SUM(E931:E945)</f>
        <v>13</v>
      </c>
      <c r="F946" s="211">
        <f t="shared" si="20"/>
        <v>1</v>
      </c>
      <c r="G946" s="211">
        <f t="shared" si="20"/>
        <v>0</v>
      </c>
      <c r="H946" s="211">
        <f t="shared" si="20"/>
        <v>0</v>
      </c>
      <c r="I946" s="211">
        <f t="shared" si="20"/>
        <v>0</v>
      </c>
      <c r="J946" s="211">
        <f t="shared" si="20"/>
        <v>14</v>
      </c>
      <c r="K946" s="330"/>
    </row>
    <row r="947" spans="1:11" ht="20.149999999999999" customHeight="1" x14ac:dyDescent="0.35">
      <c r="A947"/>
      <c r="B947" s="41"/>
      <c r="C947" s="40"/>
      <c r="D947" s="1"/>
      <c r="E947" s="265"/>
      <c r="F947" s="265"/>
      <c r="G947" s="265"/>
      <c r="H947" s="265"/>
      <c r="I947" s="265"/>
      <c r="J947" s="265"/>
      <c r="K947" s="185"/>
    </row>
    <row r="948" spans="1:11" ht="20.149999999999999" customHeight="1" x14ac:dyDescent="0.35">
      <c r="A948"/>
      <c r="B948" s="117">
        <v>1.21</v>
      </c>
      <c r="C948" s="100" t="s">
        <v>711</v>
      </c>
      <c r="D948" s="21"/>
      <c r="E948" s="196"/>
      <c r="F948" s="196"/>
      <c r="G948" s="196"/>
      <c r="H948" s="196"/>
      <c r="I948" s="196"/>
      <c r="J948" s="196"/>
      <c r="K948" s="320"/>
    </row>
    <row r="949" spans="1:11" ht="20.149999999999999" customHeight="1" thickBot="1" x14ac:dyDescent="0.4">
      <c r="A949"/>
      <c r="B949" s="17"/>
      <c r="C949" s="28"/>
      <c r="D949" s="24"/>
      <c r="E949" s="211"/>
      <c r="F949" s="211"/>
      <c r="G949" s="211"/>
      <c r="H949" s="211"/>
      <c r="I949" s="211"/>
      <c r="J949" s="211"/>
      <c r="K949" s="330"/>
    </row>
    <row r="950" spans="1:11" ht="20.149999999999999" customHeight="1" x14ac:dyDescent="0.35">
      <c r="A950"/>
      <c r="B950" s="17"/>
      <c r="C950" s="68" t="s">
        <v>38</v>
      </c>
      <c r="D950" s="25"/>
      <c r="E950" s="224" t="s">
        <v>20</v>
      </c>
      <c r="F950" s="198" t="s">
        <v>24</v>
      </c>
      <c r="G950" s="198" t="s">
        <v>27</v>
      </c>
      <c r="H950" s="198" t="s">
        <v>29</v>
      </c>
      <c r="I950" s="199" t="s">
        <v>32</v>
      </c>
      <c r="J950" s="200" t="s">
        <v>35</v>
      </c>
      <c r="K950" s="374" t="s">
        <v>39</v>
      </c>
    </row>
    <row r="951" spans="1:11" ht="20.149999999999999" customHeight="1" x14ac:dyDescent="0.35">
      <c r="A951"/>
      <c r="B951" s="17"/>
      <c r="C951" s="106" t="s">
        <v>712</v>
      </c>
      <c r="D951" s="25"/>
      <c r="E951" s="223">
        <v>1</v>
      </c>
      <c r="F951" s="202"/>
      <c r="G951" s="202"/>
      <c r="H951" s="202"/>
      <c r="I951" s="239"/>
      <c r="J951" s="266">
        <v>1</v>
      </c>
      <c r="K951" s="375"/>
    </row>
    <row r="952" spans="1:11" ht="20.149999999999999" customHeight="1" x14ac:dyDescent="0.35">
      <c r="A952"/>
      <c r="B952" s="17"/>
      <c r="C952" s="106" t="s">
        <v>713</v>
      </c>
      <c r="D952" s="25"/>
      <c r="E952" s="223">
        <v>1</v>
      </c>
      <c r="F952" s="202"/>
      <c r="G952" s="202"/>
      <c r="H952" s="202"/>
      <c r="I952" s="239"/>
      <c r="J952" s="266">
        <v>1</v>
      </c>
      <c r="K952" s="376"/>
    </row>
    <row r="953" spans="1:11" ht="20.149999999999999" customHeight="1" x14ac:dyDescent="0.35">
      <c r="A953"/>
      <c r="B953" s="17"/>
      <c r="C953" s="106" t="s">
        <v>714</v>
      </c>
      <c r="D953" s="25"/>
      <c r="E953" s="223">
        <v>1</v>
      </c>
      <c r="F953" s="202"/>
      <c r="G953" s="202"/>
      <c r="H953" s="202"/>
      <c r="I953" s="239"/>
      <c r="J953" s="266">
        <v>1</v>
      </c>
      <c r="K953" s="376"/>
    </row>
    <row r="954" spans="1:11" ht="15.5" x14ac:dyDescent="0.35">
      <c r="A954"/>
      <c r="B954" s="17"/>
      <c r="C954" s="106" t="s">
        <v>715</v>
      </c>
      <c r="D954" s="25"/>
      <c r="E954" s="223">
        <v>1</v>
      </c>
      <c r="F954" s="202"/>
      <c r="G954" s="202"/>
      <c r="H954" s="202"/>
      <c r="I954" s="239"/>
      <c r="J954" s="266">
        <v>1</v>
      </c>
      <c r="K954" s="376"/>
    </row>
    <row r="955" spans="1:11" ht="20.149999999999999" customHeight="1" x14ac:dyDescent="0.35">
      <c r="A955"/>
      <c r="B955" s="17"/>
      <c r="C955" s="106" t="s">
        <v>716</v>
      </c>
      <c r="D955" s="25"/>
      <c r="E955" s="223">
        <v>1</v>
      </c>
      <c r="F955" s="202"/>
      <c r="G955" s="202"/>
      <c r="H955" s="202"/>
      <c r="I955" s="239"/>
      <c r="J955" s="266">
        <v>1</v>
      </c>
      <c r="K955" s="376"/>
    </row>
    <row r="956" spans="1:11" ht="20.149999999999999" customHeight="1" x14ac:dyDescent="0.35">
      <c r="A956"/>
      <c r="B956" s="17"/>
      <c r="C956" s="106" t="s">
        <v>717</v>
      </c>
      <c r="D956" s="25"/>
      <c r="E956" s="223">
        <v>1</v>
      </c>
      <c r="F956" s="202"/>
      <c r="G956" s="202"/>
      <c r="H956" s="202"/>
      <c r="I956" s="239"/>
      <c r="J956" s="266">
        <v>1</v>
      </c>
      <c r="K956" s="376"/>
    </row>
    <row r="957" spans="1:11" ht="20.149999999999999" customHeight="1" x14ac:dyDescent="0.35">
      <c r="A957"/>
      <c r="B957" s="17"/>
      <c r="C957" s="106" t="s">
        <v>718</v>
      </c>
      <c r="D957" s="25"/>
      <c r="E957" s="223">
        <v>1</v>
      </c>
      <c r="F957" s="202"/>
      <c r="G957" s="202"/>
      <c r="H957" s="202"/>
      <c r="I957" s="239"/>
      <c r="J957" s="266">
        <v>1</v>
      </c>
      <c r="K957" s="376"/>
    </row>
    <row r="958" spans="1:11" ht="20.149999999999999" customHeight="1" x14ac:dyDescent="0.35">
      <c r="A958"/>
      <c r="B958" s="17"/>
      <c r="C958" s="106" t="s">
        <v>719</v>
      </c>
      <c r="D958" s="25"/>
      <c r="E958" s="223">
        <v>1</v>
      </c>
      <c r="F958" s="202"/>
      <c r="G958" s="202"/>
      <c r="H958" s="202"/>
      <c r="I958" s="239"/>
      <c r="J958" s="266">
        <v>1</v>
      </c>
      <c r="K958" s="376"/>
    </row>
    <row r="959" spans="1:11" ht="20.149999999999999" customHeight="1" x14ac:dyDescent="0.35">
      <c r="A959"/>
      <c r="B959" s="17"/>
      <c r="C959" s="106" t="s">
        <v>720</v>
      </c>
      <c r="D959" s="25"/>
      <c r="E959" s="223"/>
      <c r="F959" s="202">
        <v>1</v>
      </c>
      <c r="G959" s="202"/>
      <c r="H959" s="202"/>
      <c r="I959" s="239"/>
      <c r="J959" s="266">
        <v>1</v>
      </c>
      <c r="K959" s="376"/>
    </row>
    <row r="960" spans="1:11" ht="20.149999999999999" customHeight="1" x14ac:dyDescent="0.35">
      <c r="A960"/>
      <c r="B960" s="17"/>
      <c r="C960" s="106" t="s">
        <v>721</v>
      </c>
      <c r="D960" s="25"/>
      <c r="E960" s="223">
        <v>1</v>
      </c>
      <c r="F960" s="202"/>
      <c r="G960" s="202"/>
      <c r="H960" s="202"/>
      <c r="I960" s="239"/>
      <c r="J960" s="266">
        <v>1</v>
      </c>
      <c r="K960" s="376"/>
    </row>
    <row r="961" spans="1:11" ht="99.75" customHeight="1" x14ac:dyDescent="0.35">
      <c r="A961"/>
      <c r="B961" s="17"/>
      <c r="C961" s="106" t="s">
        <v>722</v>
      </c>
      <c r="D961" s="25"/>
      <c r="E961" s="223">
        <v>1</v>
      </c>
      <c r="F961" s="202"/>
      <c r="G961" s="202"/>
      <c r="H961" s="202"/>
      <c r="I961" s="239"/>
      <c r="J961" s="266">
        <v>1</v>
      </c>
      <c r="K961" s="378" t="s">
        <v>723</v>
      </c>
    </row>
    <row r="962" spans="1:11" ht="20.149999999999999" customHeight="1" x14ac:dyDescent="0.35">
      <c r="A962"/>
      <c r="B962" s="17"/>
      <c r="C962" s="106" t="s">
        <v>724</v>
      </c>
      <c r="D962" s="25"/>
      <c r="E962" s="223"/>
      <c r="F962" s="202">
        <v>1</v>
      </c>
      <c r="G962" s="202"/>
      <c r="H962" s="202"/>
      <c r="I962" s="239"/>
      <c r="J962" s="266">
        <v>1</v>
      </c>
      <c r="K962" s="375"/>
    </row>
    <row r="963" spans="1:11" ht="20.149999999999999" customHeight="1" thickBot="1" x14ac:dyDescent="0.4">
      <c r="A963" s="64"/>
      <c r="B963" s="17"/>
      <c r="C963" s="124"/>
      <c r="D963" s="24"/>
      <c r="E963" s="225"/>
      <c r="F963" s="226"/>
      <c r="G963" s="226"/>
      <c r="H963" s="226"/>
      <c r="I963" s="227"/>
      <c r="J963" s="227"/>
      <c r="K963" s="377"/>
    </row>
    <row r="964" spans="1:11" ht="20.149999999999999" customHeight="1" x14ac:dyDescent="0.35">
      <c r="A964" s="64"/>
      <c r="B964" s="17"/>
      <c r="C964" s="125"/>
      <c r="D964" s="24"/>
      <c r="E964" s="211">
        <f t="shared" ref="E964:J964" si="21">SUM(E951:E963)</f>
        <v>10</v>
      </c>
      <c r="F964" s="211">
        <f t="shared" si="21"/>
        <v>2</v>
      </c>
      <c r="G964" s="211">
        <f t="shared" si="21"/>
        <v>0</v>
      </c>
      <c r="H964" s="211">
        <f t="shared" si="21"/>
        <v>0</v>
      </c>
      <c r="I964" s="211">
        <f t="shared" si="21"/>
        <v>0</v>
      </c>
      <c r="J964" s="211">
        <f t="shared" si="21"/>
        <v>12</v>
      </c>
      <c r="K964" s="330"/>
    </row>
    <row r="965" spans="1:11" ht="20.149999999999999" customHeight="1" x14ac:dyDescent="0.35">
      <c r="A965"/>
      <c r="B965" s="41"/>
      <c r="C965" s="40"/>
      <c r="D965" s="1"/>
      <c r="E965" s="265"/>
      <c r="F965" s="265"/>
      <c r="G965" s="265"/>
      <c r="H965" s="265"/>
      <c r="I965" s="265"/>
      <c r="J965" s="265"/>
      <c r="K965" s="185"/>
    </row>
    <row r="966" spans="1:11" ht="20.149999999999999" customHeight="1" x14ac:dyDescent="0.35">
      <c r="A966"/>
      <c r="B966" s="117">
        <v>1.22</v>
      </c>
      <c r="C966" s="100" t="s">
        <v>725</v>
      </c>
      <c r="D966" s="21"/>
      <c r="E966" s="196"/>
      <c r="F966" s="196"/>
      <c r="G966" s="196"/>
      <c r="H966" s="196"/>
      <c r="I966" s="196"/>
      <c r="J966" s="196"/>
      <c r="K966" s="320"/>
    </row>
    <row r="967" spans="1:11" ht="20.149999999999999" customHeight="1" thickBot="1" x14ac:dyDescent="0.4">
      <c r="A967"/>
      <c r="B967" s="17"/>
      <c r="C967" s="28"/>
      <c r="D967" s="24"/>
      <c r="E967" s="211"/>
      <c r="F967" s="211"/>
      <c r="G967" s="211"/>
      <c r="H967" s="211"/>
      <c r="I967" s="211"/>
      <c r="J967" s="211"/>
      <c r="K967" s="330"/>
    </row>
    <row r="968" spans="1:11" ht="20.149999999999999" customHeight="1" x14ac:dyDescent="0.35">
      <c r="A968"/>
      <c r="B968" s="17"/>
      <c r="C968" s="68" t="s">
        <v>38</v>
      </c>
      <c r="D968" s="25"/>
      <c r="E968" s="224" t="s">
        <v>20</v>
      </c>
      <c r="F968" s="198" t="s">
        <v>24</v>
      </c>
      <c r="G968" s="198" t="s">
        <v>27</v>
      </c>
      <c r="H968" s="198" t="s">
        <v>29</v>
      </c>
      <c r="I968" s="199" t="s">
        <v>32</v>
      </c>
      <c r="J968" s="200" t="s">
        <v>35</v>
      </c>
      <c r="K968" s="374" t="s">
        <v>39</v>
      </c>
    </row>
    <row r="969" spans="1:11" ht="20.149999999999999" customHeight="1" x14ac:dyDescent="0.35">
      <c r="A969"/>
      <c r="B969" s="17"/>
      <c r="C969" s="105" t="s">
        <v>726</v>
      </c>
      <c r="D969" s="25"/>
      <c r="E969" s="223"/>
      <c r="F969" s="202"/>
      <c r="G969" s="202"/>
      <c r="H969" s="202"/>
      <c r="I969" s="203"/>
      <c r="J969" s="203"/>
      <c r="K969" s="376" t="s">
        <v>523</v>
      </c>
    </row>
    <row r="970" spans="1:11" ht="20.149999999999999" customHeight="1" x14ac:dyDescent="0.35">
      <c r="A970"/>
      <c r="B970" s="41"/>
      <c r="C970" s="105"/>
      <c r="D970" s="1"/>
      <c r="E970" s="223"/>
      <c r="F970" s="202"/>
      <c r="G970" s="202"/>
      <c r="H970" s="202"/>
      <c r="I970" s="203"/>
      <c r="J970" s="203"/>
      <c r="K970" s="376"/>
    </row>
    <row r="971" spans="1:11" ht="20.149999999999999" customHeight="1" thickBot="1" x14ac:dyDescent="0.4">
      <c r="A971" s="64"/>
      <c r="B971" s="17"/>
      <c r="C971" s="124"/>
      <c r="D971" s="24"/>
      <c r="E971" s="225"/>
      <c r="F971" s="226"/>
      <c r="G971" s="226"/>
      <c r="H971" s="226"/>
      <c r="I971" s="227"/>
      <c r="J971" s="227"/>
      <c r="K971" s="377"/>
    </row>
    <row r="972" spans="1:11" ht="20.149999999999999" customHeight="1" x14ac:dyDescent="0.35">
      <c r="A972" s="64"/>
      <c r="B972" s="17"/>
      <c r="C972" s="125"/>
      <c r="D972" s="24"/>
      <c r="E972" s="211">
        <f t="shared" ref="E972:J972" si="22">SUM(E969:E971)</f>
        <v>0</v>
      </c>
      <c r="F972" s="211">
        <f t="shared" si="22"/>
        <v>0</v>
      </c>
      <c r="G972" s="211">
        <f t="shared" si="22"/>
        <v>0</v>
      </c>
      <c r="H972" s="211">
        <f t="shared" si="22"/>
        <v>0</v>
      </c>
      <c r="I972" s="211">
        <f t="shared" si="22"/>
        <v>0</v>
      </c>
      <c r="J972" s="211">
        <f t="shared" si="22"/>
        <v>0</v>
      </c>
      <c r="K972" s="330"/>
    </row>
    <row r="973" spans="1:11" ht="20.149999999999999" customHeight="1" x14ac:dyDescent="0.35">
      <c r="A973"/>
      <c r="B973" s="41"/>
      <c r="C973" s="40"/>
      <c r="D973" s="1"/>
      <c r="E973" s="265"/>
      <c r="F973" s="265"/>
      <c r="G973" s="265"/>
      <c r="H973" s="265"/>
      <c r="I973" s="265"/>
      <c r="J973" s="265"/>
      <c r="K973" s="185"/>
    </row>
    <row r="974" spans="1:11" ht="20.149999999999999" customHeight="1" x14ac:dyDescent="0.35">
      <c r="A974"/>
      <c r="B974" s="117">
        <v>1.23</v>
      </c>
      <c r="C974" s="100" t="s">
        <v>727</v>
      </c>
      <c r="D974" s="21"/>
      <c r="E974" s="196"/>
      <c r="F974" s="196"/>
      <c r="G974" s="196"/>
      <c r="H974" s="196"/>
      <c r="I974" s="196"/>
      <c r="J974" s="196"/>
      <c r="K974" s="320"/>
    </row>
    <row r="975" spans="1:11" ht="20.149999999999999" customHeight="1" thickBot="1" x14ac:dyDescent="0.4">
      <c r="A975"/>
      <c r="B975" s="17"/>
      <c r="C975" s="28"/>
      <c r="D975" s="24"/>
      <c r="E975" s="211"/>
      <c r="F975" s="211"/>
      <c r="G975" s="211"/>
      <c r="H975" s="211"/>
      <c r="I975" s="211"/>
      <c r="J975" s="211"/>
      <c r="K975" s="330"/>
    </row>
    <row r="976" spans="1:11" ht="20.149999999999999" customHeight="1" x14ac:dyDescent="0.35">
      <c r="A976"/>
      <c r="B976" s="17"/>
      <c r="C976" s="68" t="s">
        <v>38</v>
      </c>
      <c r="D976" s="25"/>
      <c r="E976" s="224" t="s">
        <v>20</v>
      </c>
      <c r="F976" s="198" t="s">
        <v>24</v>
      </c>
      <c r="G976" s="198" t="s">
        <v>27</v>
      </c>
      <c r="H976" s="198" t="s">
        <v>29</v>
      </c>
      <c r="I976" s="199" t="s">
        <v>32</v>
      </c>
      <c r="J976" s="200" t="s">
        <v>35</v>
      </c>
      <c r="K976" s="374" t="s">
        <v>39</v>
      </c>
    </row>
    <row r="977" spans="1:11" ht="20.149999999999999" customHeight="1" x14ac:dyDescent="0.35">
      <c r="A977"/>
      <c r="B977" s="17"/>
      <c r="C977" s="105" t="s">
        <v>728</v>
      </c>
      <c r="D977" s="25"/>
      <c r="E977" s="223">
        <v>1</v>
      </c>
      <c r="F977" s="202"/>
      <c r="G977" s="202"/>
      <c r="H977" s="202"/>
      <c r="I977" s="239"/>
      <c r="J977" s="266">
        <v>1</v>
      </c>
      <c r="K977" s="376"/>
    </row>
    <row r="978" spans="1:11" ht="33" customHeight="1" x14ac:dyDescent="0.35">
      <c r="A978"/>
      <c r="B978" s="17"/>
      <c r="C978" s="106" t="s">
        <v>729</v>
      </c>
      <c r="D978" s="25"/>
      <c r="E978" s="223"/>
      <c r="F978" s="202">
        <v>1</v>
      </c>
      <c r="G978" s="202"/>
      <c r="H978" s="202"/>
      <c r="I978" s="239"/>
      <c r="J978" s="266">
        <v>1</v>
      </c>
      <c r="K978" s="376"/>
    </row>
    <row r="979" spans="1:11" ht="32.15" customHeight="1" x14ac:dyDescent="0.35">
      <c r="A979"/>
      <c r="B979" s="17"/>
      <c r="C979" s="106" t="s">
        <v>730</v>
      </c>
      <c r="D979" s="25"/>
      <c r="E979" s="223"/>
      <c r="F979" s="202">
        <v>1</v>
      </c>
      <c r="G979" s="202"/>
      <c r="H979" s="202"/>
      <c r="I979" s="239"/>
      <c r="J979" s="266">
        <v>1</v>
      </c>
      <c r="K979" s="376"/>
    </row>
    <row r="980" spans="1:11" ht="20.149999999999999" customHeight="1" x14ac:dyDescent="0.35">
      <c r="A980"/>
      <c r="B980" s="17"/>
      <c r="C980" s="105" t="s">
        <v>731</v>
      </c>
      <c r="D980" s="25"/>
      <c r="E980" s="223">
        <v>1</v>
      </c>
      <c r="F980" s="202"/>
      <c r="G980" s="202"/>
      <c r="H980" s="202"/>
      <c r="I980" s="239"/>
      <c r="J980" s="266">
        <v>1</v>
      </c>
      <c r="K980" s="376"/>
    </row>
    <row r="981" spans="1:11" ht="20.149999999999999" customHeight="1" x14ac:dyDescent="0.35">
      <c r="A981"/>
      <c r="B981" s="17"/>
      <c r="C981" s="105" t="s">
        <v>732</v>
      </c>
      <c r="D981" s="25"/>
      <c r="E981" s="223">
        <v>1</v>
      </c>
      <c r="F981" s="202"/>
      <c r="G981" s="202"/>
      <c r="H981" s="202"/>
      <c r="I981" s="239"/>
      <c r="J981" s="266">
        <v>1</v>
      </c>
      <c r="K981" s="376"/>
    </row>
    <row r="982" spans="1:11" ht="20.149999999999999" customHeight="1" x14ac:dyDescent="0.35">
      <c r="A982"/>
      <c r="B982" s="17"/>
      <c r="C982" s="108" t="s">
        <v>733</v>
      </c>
      <c r="D982" s="25"/>
      <c r="E982" s="223">
        <v>1</v>
      </c>
      <c r="F982" s="202"/>
      <c r="G982" s="202"/>
      <c r="H982" s="202"/>
      <c r="I982" s="239"/>
      <c r="J982" s="266">
        <v>1</v>
      </c>
      <c r="K982" s="376"/>
    </row>
    <row r="983" spans="1:11" ht="20.149999999999999" customHeight="1" x14ac:dyDescent="0.35">
      <c r="A983"/>
      <c r="B983" s="17"/>
      <c r="C983" s="108" t="s">
        <v>734</v>
      </c>
      <c r="D983" s="25"/>
      <c r="E983" s="223">
        <v>1</v>
      </c>
      <c r="F983" s="202"/>
      <c r="G983" s="202"/>
      <c r="H983" s="202"/>
      <c r="I983" s="239"/>
      <c r="J983" s="266">
        <v>1</v>
      </c>
      <c r="K983" s="376"/>
    </row>
    <row r="984" spans="1:11" ht="20.149999999999999" customHeight="1" x14ac:dyDescent="0.35">
      <c r="A984"/>
      <c r="B984" s="17"/>
      <c r="C984" s="108" t="s">
        <v>735</v>
      </c>
      <c r="D984" s="25"/>
      <c r="E984" s="223">
        <v>1</v>
      </c>
      <c r="F984" s="202"/>
      <c r="G984" s="202"/>
      <c r="H984" s="202"/>
      <c r="I984" s="239"/>
      <c r="J984" s="266">
        <v>1</v>
      </c>
      <c r="K984" s="376"/>
    </row>
    <row r="985" spans="1:11" ht="20.149999999999999" customHeight="1" x14ac:dyDescent="0.35">
      <c r="A985"/>
      <c r="B985" s="17"/>
      <c r="C985" s="108" t="s">
        <v>736</v>
      </c>
      <c r="D985" s="25"/>
      <c r="E985" s="223">
        <v>1</v>
      </c>
      <c r="F985" s="202"/>
      <c r="G985" s="202"/>
      <c r="H985" s="202"/>
      <c r="I985" s="239"/>
      <c r="J985" s="266">
        <v>1</v>
      </c>
      <c r="K985" s="376"/>
    </row>
    <row r="986" spans="1:11" ht="20.149999999999999" customHeight="1" x14ac:dyDescent="0.35">
      <c r="A986"/>
      <c r="B986" s="17"/>
      <c r="C986" s="105" t="s">
        <v>737</v>
      </c>
      <c r="D986" s="25"/>
      <c r="E986" s="223">
        <v>1</v>
      </c>
      <c r="F986" s="202"/>
      <c r="G986" s="202"/>
      <c r="H986" s="202"/>
      <c r="I986" s="239"/>
      <c r="J986" s="266">
        <v>1</v>
      </c>
      <c r="K986" s="376"/>
    </row>
    <row r="987" spans="1:11" ht="20.149999999999999" customHeight="1" x14ac:dyDescent="0.35">
      <c r="A987"/>
      <c r="B987" s="17"/>
      <c r="C987" s="105" t="s">
        <v>738</v>
      </c>
      <c r="D987" s="25"/>
      <c r="E987" s="223">
        <v>1</v>
      </c>
      <c r="F987" s="202"/>
      <c r="G987" s="202"/>
      <c r="H987" s="202"/>
      <c r="I987" s="239"/>
      <c r="J987" s="276">
        <v>1</v>
      </c>
      <c r="K987" s="376"/>
    </row>
    <row r="988" spans="1:11" ht="20.149999999999999" customHeight="1" x14ac:dyDescent="0.35">
      <c r="A988"/>
      <c r="B988" s="17"/>
      <c r="C988" s="105" t="s">
        <v>739</v>
      </c>
      <c r="D988" s="25"/>
      <c r="E988" s="223">
        <v>1</v>
      </c>
      <c r="F988" s="202"/>
      <c r="G988" s="202"/>
      <c r="H988" s="202"/>
      <c r="I988" s="203"/>
      <c r="J988" s="271">
        <v>1</v>
      </c>
      <c r="K988" s="372"/>
    </row>
    <row r="989" spans="1:11" ht="20.149999999999999" customHeight="1" x14ac:dyDescent="0.35">
      <c r="A989"/>
      <c r="B989" s="17"/>
      <c r="C989" s="108" t="s">
        <v>740</v>
      </c>
      <c r="D989" s="25"/>
      <c r="E989" s="223">
        <v>1</v>
      </c>
      <c r="F989" s="202"/>
      <c r="G989" s="202"/>
      <c r="H989" s="202"/>
      <c r="I989" s="203"/>
      <c r="J989" s="272">
        <v>1</v>
      </c>
      <c r="K989" s="372"/>
    </row>
    <row r="990" spans="1:11" ht="20.149999999999999" customHeight="1" x14ac:dyDescent="0.35">
      <c r="A990"/>
      <c r="B990" s="17"/>
      <c r="C990" s="108" t="s">
        <v>741</v>
      </c>
      <c r="D990" s="25"/>
      <c r="E990" s="223">
        <v>1</v>
      </c>
      <c r="F990" s="202"/>
      <c r="G990" s="202"/>
      <c r="H990" s="202"/>
      <c r="I990" s="203"/>
      <c r="J990" s="272">
        <v>1</v>
      </c>
      <c r="K990" s="372"/>
    </row>
    <row r="991" spans="1:11" ht="20.149999999999999" customHeight="1" x14ac:dyDescent="0.35">
      <c r="A991"/>
      <c r="B991" s="17"/>
      <c r="C991" s="108" t="s">
        <v>742</v>
      </c>
      <c r="D991" s="25"/>
      <c r="E991" s="223">
        <v>1</v>
      </c>
      <c r="F991" s="202"/>
      <c r="G991" s="202"/>
      <c r="H991" s="202"/>
      <c r="I991" s="203"/>
      <c r="J991" s="272">
        <v>1</v>
      </c>
      <c r="K991" s="372"/>
    </row>
    <row r="992" spans="1:11" ht="20.149999999999999" customHeight="1" x14ac:dyDescent="0.35">
      <c r="A992"/>
      <c r="B992" s="17"/>
      <c r="C992" s="108" t="s">
        <v>743</v>
      </c>
      <c r="D992" s="25"/>
      <c r="E992" s="223">
        <v>1</v>
      </c>
      <c r="F992" s="202"/>
      <c r="G992" s="202"/>
      <c r="H992" s="202"/>
      <c r="I992" s="203"/>
      <c r="J992" s="272">
        <v>1</v>
      </c>
      <c r="K992" s="372"/>
    </row>
    <row r="993" spans="1:11" ht="20.149999999999999" customHeight="1" x14ac:dyDescent="0.35">
      <c r="A993"/>
      <c r="B993" s="17"/>
      <c r="C993" s="108" t="s">
        <v>744</v>
      </c>
      <c r="D993" s="25"/>
      <c r="E993" s="223">
        <v>1</v>
      </c>
      <c r="F993" s="202"/>
      <c r="G993" s="202"/>
      <c r="H993" s="202"/>
      <c r="I993" s="203"/>
      <c r="J993" s="272">
        <v>1</v>
      </c>
      <c r="K993" s="372"/>
    </row>
    <row r="994" spans="1:11" ht="20.149999999999999" customHeight="1" x14ac:dyDescent="0.35">
      <c r="A994"/>
      <c r="B994" s="17"/>
      <c r="C994" s="108" t="s">
        <v>745</v>
      </c>
      <c r="D994" s="25"/>
      <c r="E994" s="223">
        <v>1</v>
      </c>
      <c r="F994" s="202"/>
      <c r="G994" s="202"/>
      <c r="H994" s="202"/>
      <c r="I994" s="203"/>
      <c r="J994" s="272">
        <v>1</v>
      </c>
      <c r="K994" s="372"/>
    </row>
    <row r="995" spans="1:11" ht="20.149999999999999" customHeight="1" x14ac:dyDescent="0.35">
      <c r="A995"/>
      <c r="B995" s="17"/>
      <c r="C995" s="108" t="s">
        <v>746</v>
      </c>
      <c r="D995" s="25"/>
      <c r="E995" s="223">
        <v>1</v>
      </c>
      <c r="F995" s="202"/>
      <c r="G995" s="202"/>
      <c r="H995" s="202"/>
      <c r="I995" s="203"/>
      <c r="J995" s="272">
        <v>1</v>
      </c>
      <c r="K995" s="372"/>
    </row>
    <row r="996" spans="1:11" ht="20.149999999999999" customHeight="1" x14ac:dyDescent="0.35">
      <c r="A996"/>
      <c r="B996" s="17"/>
      <c r="C996" s="108" t="s">
        <v>747</v>
      </c>
      <c r="D996" s="25"/>
      <c r="E996" s="223">
        <v>1</v>
      </c>
      <c r="F996" s="202"/>
      <c r="G996" s="202"/>
      <c r="H996" s="202"/>
      <c r="I996" s="203"/>
      <c r="J996" s="272">
        <v>1</v>
      </c>
      <c r="K996" s="372"/>
    </row>
    <row r="997" spans="1:11" ht="20.149999999999999" customHeight="1" x14ac:dyDescent="0.35">
      <c r="A997"/>
      <c r="B997" s="17"/>
      <c r="C997" s="108" t="s">
        <v>748</v>
      </c>
      <c r="D997" s="25"/>
      <c r="E997" s="223">
        <v>1</v>
      </c>
      <c r="F997" s="202"/>
      <c r="G997" s="202"/>
      <c r="H997" s="202"/>
      <c r="I997" s="203"/>
      <c r="J997" s="272">
        <v>1</v>
      </c>
      <c r="K997" s="372"/>
    </row>
    <row r="998" spans="1:11" ht="20.149999999999999" customHeight="1" x14ac:dyDescent="0.35">
      <c r="A998"/>
      <c r="B998" s="17"/>
      <c r="C998" s="108" t="s">
        <v>749</v>
      </c>
      <c r="D998" s="25"/>
      <c r="E998" s="223">
        <v>1</v>
      </c>
      <c r="F998" s="202"/>
      <c r="G998" s="202"/>
      <c r="H998" s="202"/>
      <c r="I998" s="203"/>
      <c r="J998" s="272">
        <v>1</v>
      </c>
      <c r="K998" s="372"/>
    </row>
    <row r="999" spans="1:11" ht="20.149999999999999" customHeight="1" x14ac:dyDescent="0.35">
      <c r="A999"/>
      <c r="B999" s="17"/>
      <c r="C999" s="108" t="s">
        <v>750</v>
      </c>
      <c r="D999" s="25"/>
      <c r="E999" s="223">
        <v>1</v>
      </c>
      <c r="F999" s="202"/>
      <c r="G999" s="202"/>
      <c r="H999" s="202"/>
      <c r="I999" s="203"/>
      <c r="J999" s="272">
        <v>1</v>
      </c>
      <c r="K999" s="372"/>
    </row>
    <row r="1000" spans="1:11" ht="20.149999999999999" customHeight="1" x14ac:dyDescent="0.35">
      <c r="A1000"/>
      <c r="B1000" s="17"/>
      <c r="C1000" s="108" t="s">
        <v>751</v>
      </c>
      <c r="D1000" s="25"/>
      <c r="E1000" s="223">
        <v>1</v>
      </c>
      <c r="F1000" s="202"/>
      <c r="G1000" s="202"/>
      <c r="H1000" s="202"/>
      <c r="I1000" s="203"/>
      <c r="J1000" s="272">
        <v>1</v>
      </c>
      <c r="K1000" s="372"/>
    </row>
    <row r="1001" spans="1:11" ht="20.149999999999999" customHeight="1" x14ac:dyDescent="0.35">
      <c r="A1001"/>
      <c r="B1001" s="17"/>
      <c r="C1001" s="169" t="s">
        <v>752</v>
      </c>
      <c r="D1001" s="25"/>
      <c r="E1001" s="223">
        <v>1</v>
      </c>
      <c r="F1001" s="202"/>
      <c r="G1001" s="202"/>
      <c r="H1001" s="202"/>
      <c r="I1001" s="203"/>
      <c r="J1001" s="272">
        <v>1</v>
      </c>
      <c r="K1001" s="372"/>
    </row>
    <row r="1002" spans="1:11" ht="20.149999999999999" customHeight="1" x14ac:dyDescent="0.35">
      <c r="A1002"/>
      <c r="B1002" s="17"/>
      <c r="C1002" s="108" t="s">
        <v>753</v>
      </c>
      <c r="D1002" s="25"/>
      <c r="E1002" s="223">
        <v>1</v>
      </c>
      <c r="F1002" s="202"/>
      <c r="G1002" s="202"/>
      <c r="H1002" s="202"/>
      <c r="I1002" s="203"/>
      <c r="J1002" s="272">
        <v>1</v>
      </c>
      <c r="K1002" s="372"/>
    </row>
    <row r="1003" spans="1:11" ht="20.149999999999999" customHeight="1" x14ac:dyDescent="0.35">
      <c r="A1003"/>
      <c r="B1003" s="17"/>
      <c r="C1003" s="108" t="s">
        <v>754</v>
      </c>
      <c r="D1003" s="25"/>
      <c r="E1003" s="223">
        <v>1</v>
      </c>
      <c r="F1003" s="202"/>
      <c r="G1003" s="202"/>
      <c r="H1003" s="202"/>
      <c r="I1003" s="203"/>
      <c r="J1003" s="272">
        <v>1</v>
      </c>
      <c r="K1003" s="372"/>
    </row>
    <row r="1004" spans="1:11" ht="20.149999999999999" customHeight="1" x14ac:dyDescent="0.35">
      <c r="A1004"/>
      <c r="B1004" s="17"/>
      <c r="C1004" s="108" t="s">
        <v>755</v>
      </c>
      <c r="D1004" s="25"/>
      <c r="E1004" s="223">
        <v>1</v>
      </c>
      <c r="F1004" s="202"/>
      <c r="G1004" s="202"/>
      <c r="H1004" s="202"/>
      <c r="I1004" s="203"/>
      <c r="J1004" s="272">
        <v>1</v>
      </c>
      <c r="K1004" s="372"/>
    </row>
    <row r="1005" spans="1:11" ht="20.149999999999999" customHeight="1" x14ac:dyDescent="0.35">
      <c r="A1005"/>
      <c r="B1005" s="17"/>
      <c r="C1005" s="108" t="s">
        <v>756</v>
      </c>
      <c r="D1005" s="25"/>
      <c r="E1005" s="223">
        <v>1</v>
      </c>
      <c r="F1005" s="202"/>
      <c r="G1005" s="202"/>
      <c r="H1005" s="202"/>
      <c r="I1005" s="239"/>
      <c r="J1005" s="304">
        <v>1</v>
      </c>
      <c r="K1005" s="372"/>
    </row>
    <row r="1006" spans="1:11" ht="20.149999999999999" customHeight="1" x14ac:dyDescent="0.35">
      <c r="A1006"/>
      <c r="B1006" s="17"/>
      <c r="C1006" s="108" t="s">
        <v>757</v>
      </c>
      <c r="D1006" s="25"/>
      <c r="E1006" s="223">
        <v>1</v>
      </c>
      <c r="F1006" s="202"/>
      <c r="G1006" s="202"/>
      <c r="H1006" s="202"/>
      <c r="I1006" s="239"/>
      <c r="J1006" s="305">
        <v>1</v>
      </c>
      <c r="K1006" s="376"/>
    </row>
    <row r="1007" spans="1:11" ht="20.149999999999999" customHeight="1" x14ac:dyDescent="0.35">
      <c r="A1007"/>
      <c r="B1007" s="17"/>
      <c r="C1007" s="108" t="s">
        <v>758</v>
      </c>
      <c r="D1007" s="25"/>
      <c r="E1007" s="223">
        <v>1</v>
      </c>
      <c r="F1007" s="202"/>
      <c r="G1007" s="202"/>
      <c r="H1007" s="202"/>
      <c r="I1007" s="239"/>
      <c r="J1007" s="266">
        <v>1</v>
      </c>
      <c r="K1007" s="376"/>
    </row>
    <row r="1008" spans="1:11" ht="20.149999999999999" customHeight="1" x14ac:dyDescent="0.35">
      <c r="A1008"/>
      <c r="B1008" s="17"/>
      <c r="C1008" s="95" t="s">
        <v>759</v>
      </c>
      <c r="D1008" s="25"/>
      <c r="E1008" s="223">
        <v>1</v>
      </c>
      <c r="F1008" s="202"/>
      <c r="G1008" s="202"/>
      <c r="H1008" s="202"/>
      <c r="I1008" s="239"/>
      <c r="J1008" s="266">
        <v>1</v>
      </c>
      <c r="K1008" s="376"/>
    </row>
    <row r="1009" spans="1:11" ht="20.149999999999999" customHeight="1" x14ac:dyDescent="0.35">
      <c r="A1009"/>
      <c r="B1009" s="17"/>
      <c r="C1009" s="105" t="s">
        <v>760</v>
      </c>
      <c r="D1009" s="25"/>
      <c r="E1009" s="223">
        <v>1</v>
      </c>
      <c r="F1009" s="202"/>
      <c r="G1009" s="202"/>
      <c r="H1009" s="202"/>
      <c r="I1009" s="239"/>
      <c r="J1009" s="266">
        <v>1</v>
      </c>
      <c r="K1009" s="376"/>
    </row>
    <row r="1010" spans="1:11" ht="20.149999999999999" customHeight="1" x14ac:dyDescent="0.35">
      <c r="A1010"/>
      <c r="B1010" s="17"/>
      <c r="C1010" s="105" t="s">
        <v>761</v>
      </c>
      <c r="D1010" s="25"/>
      <c r="E1010" s="223">
        <v>1</v>
      </c>
      <c r="F1010" s="202"/>
      <c r="G1010" s="202"/>
      <c r="H1010" s="202"/>
      <c r="I1010" s="239"/>
      <c r="J1010" s="266">
        <v>1</v>
      </c>
      <c r="K1010" s="375"/>
    </row>
    <row r="1011" spans="1:11" ht="20.149999999999999" customHeight="1" x14ac:dyDescent="0.35">
      <c r="A1011"/>
      <c r="B1011" s="17"/>
      <c r="C1011" s="105" t="s">
        <v>762</v>
      </c>
      <c r="D1011" s="25"/>
      <c r="E1011" s="223">
        <v>1</v>
      </c>
      <c r="F1011" s="202"/>
      <c r="G1011" s="202"/>
      <c r="H1011" s="202"/>
      <c r="I1011" s="239"/>
      <c r="J1011" s="266">
        <v>1</v>
      </c>
      <c r="K1011" s="376"/>
    </row>
    <row r="1012" spans="1:11" ht="20.149999999999999" customHeight="1" thickBot="1" x14ac:dyDescent="0.4">
      <c r="A1012" s="64"/>
      <c r="B1012" s="17"/>
      <c r="C1012" s="124"/>
      <c r="D1012" s="24"/>
      <c r="E1012" s="225"/>
      <c r="F1012" s="226"/>
      <c r="G1012" s="226"/>
      <c r="H1012" s="226"/>
      <c r="I1012" s="227"/>
      <c r="J1012" s="227"/>
      <c r="K1012" s="377"/>
    </row>
    <row r="1013" spans="1:11" ht="20.149999999999999" customHeight="1" x14ac:dyDescent="0.35">
      <c r="A1013" s="64"/>
      <c r="B1013" s="17"/>
      <c r="C1013" s="125"/>
      <c r="D1013" s="24"/>
      <c r="E1013" s="211">
        <f t="shared" ref="E1013:J1013" si="23">SUM(E977:E1012)</f>
        <v>33</v>
      </c>
      <c r="F1013" s="211">
        <f t="shared" si="23"/>
        <v>2</v>
      </c>
      <c r="G1013" s="211">
        <f t="shared" si="23"/>
        <v>0</v>
      </c>
      <c r="H1013" s="211">
        <f t="shared" si="23"/>
        <v>0</v>
      </c>
      <c r="I1013" s="211">
        <f t="shared" si="23"/>
        <v>0</v>
      </c>
      <c r="J1013" s="211">
        <f t="shared" si="23"/>
        <v>35</v>
      </c>
      <c r="K1013" s="330"/>
    </row>
    <row r="1014" spans="1:11" ht="20.149999999999999" customHeight="1" x14ac:dyDescent="0.35">
      <c r="A1014"/>
      <c r="B1014" s="41"/>
      <c r="C1014" s="40"/>
      <c r="D1014" s="1"/>
      <c r="E1014" s="265"/>
      <c r="F1014" s="265"/>
      <c r="G1014" s="265"/>
      <c r="H1014" s="265"/>
      <c r="I1014" s="265"/>
      <c r="J1014" s="265"/>
      <c r="K1014" s="185"/>
    </row>
    <row r="1015" spans="1:11" ht="20.149999999999999" customHeight="1" x14ac:dyDescent="0.35">
      <c r="A1015"/>
      <c r="B1015" s="117">
        <v>1.24</v>
      </c>
      <c r="C1015" s="100" t="s">
        <v>763</v>
      </c>
      <c r="D1015" s="21"/>
      <c r="E1015" s="196"/>
      <c r="F1015" s="196"/>
      <c r="G1015" s="196"/>
      <c r="H1015" s="196"/>
      <c r="I1015" s="196"/>
      <c r="J1015" s="196"/>
      <c r="K1015" s="320"/>
    </row>
    <row r="1016" spans="1:11" ht="20.149999999999999" customHeight="1" thickBot="1" x14ac:dyDescent="0.4">
      <c r="A1016"/>
      <c r="B1016" s="17"/>
      <c r="C1016" s="28"/>
      <c r="D1016" s="24"/>
      <c r="E1016" s="211"/>
      <c r="F1016" s="211"/>
      <c r="G1016" s="211"/>
      <c r="H1016" s="211"/>
      <c r="I1016" s="211"/>
      <c r="J1016" s="211"/>
      <c r="K1016" s="330"/>
    </row>
    <row r="1017" spans="1:11" ht="20.149999999999999" customHeight="1" x14ac:dyDescent="0.35">
      <c r="A1017"/>
      <c r="B1017" s="17"/>
      <c r="C1017" s="68" t="s">
        <v>38</v>
      </c>
      <c r="D1017" s="25"/>
      <c r="E1017" s="224" t="s">
        <v>20</v>
      </c>
      <c r="F1017" s="198" t="s">
        <v>24</v>
      </c>
      <c r="G1017" s="198" t="s">
        <v>27</v>
      </c>
      <c r="H1017" s="198" t="s">
        <v>29</v>
      </c>
      <c r="I1017" s="199" t="s">
        <v>32</v>
      </c>
      <c r="J1017" s="200" t="s">
        <v>35</v>
      </c>
      <c r="K1017" s="374" t="s">
        <v>39</v>
      </c>
    </row>
    <row r="1018" spans="1:11" ht="20.149999999999999" customHeight="1" x14ac:dyDescent="0.35">
      <c r="A1018"/>
      <c r="B1018" s="17"/>
      <c r="C1018" s="105" t="s">
        <v>764</v>
      </c>
      <c r="D1018" s="25"/>
      <c r="E1018" s="223">
        <v>1</v>
      </c>
      <c r="F1018" s="202"/>
      <c r="G1018" s="202"/>
      <c r="H1018" s="202"/>
      <c r="I1018" s="239"/>
      <c r="J1018" s="266">
        <v>1</v>
      </c>
      <c r="K1018" s="376"/>
    </row>
    <row r="1019" spans="1:11" ht="20.149999999999999" customHeight="1" x14ac:dyDescent="0.35">
      <c r="A1019"/>
      <c r="B1019" s="17"/>
      <c r="C1019" s="169" t="s">
        <v>765</v>
      </c>
      <c r="D1019" s="25"/>
      <c r="E1019" s="223">
        <v>1</v>
      </c>
      <c r="F1019" s="202"/>
      <c r="G1019" s="202"/>
      <c r="H1019" s="202"/>
      <c r="I1019" s="239"/>
      <c r="J1019" s="266">
        <v>1</v>
      </c>
      <c r="K1019" s="376"/>
    </row>
    <row r="1020" spans="1:11" ht="20.149999999999999" customHeight="1" x14ac:dyDescent="0.35">
      <c r="A1020"/>
      <c r="B1020" s="17"/>
      <c r="C1020" s="184" t="s">
        <v>766</v>
      </c>
      <c r="D1020" s="25"/>
      <c r="E1020" s="223">
        <v>1</v>
      </c>
      <c r="F1020" s="202"/>
      <c r="G1020" s="202"/>
      <c r="H1020" s="202"/>
      <c r="I1020" s="239"/>
      <c r="J1020" s="266">
        <v>1</v>
      </c>
      <c r="K1020" s="376"/>
    </row>
    <row r="1021" spans="1:11" ht="20.149999999999999" customHeight="1" x14ac:dyDescent="0.35">
      <c r="A1021"/>
      <c r="B1021" s="17"/>
      <c r="C1021" s="184" t="s">
        <v>767</v>
      </c>
      <c r="D1021" s="25"/>
      <c r="E1021" s="223">
        <v>1</v>
      </c>
      <c r="F1021" s="202"/>
      <c r="G1021" s="202"/>
      <c r="H1021" s="202"/>
      <c r="I1021" s="239"/>
      <c r="J1021" s="266">
        <v>1</v>
      </c>
      <c r="K1021" s="376"/>
    </row>
    <row r="1022" spans="1:11" ht="20.149999999999999" customHeight="1" x14ac:dyDescent="0.35">
      <c r="A1022"/>
      <c r="B1022" s="17"/>
      <c r="C1022" s="184" t="s">
        <v>768</v>
      </c>
      <c r="D1022" s="25"/>
      <c r="E1022" s="223">
        <v>1</v>
      </c>
      <c r="F1022" s="202"/>
      <c r="G1022" s="202"/>
      <c r="H1022" s="202"/>
      <c r="I1022" s="239"/>
      <c r="J1022" s="266">
        <v>1</v>
      </c>
      <c r="K1022" s="376"/>
    </row>
    <row r="1023" spans="1:11" ht="20.149999999999999" customHeight="1" x14ac:dyDescent="0.35">
      <c r="A1023"/>
      <c r="B1023" s="17"/>
      <c r="C1023" s="105" t="s">
        <v>769</v>
      </c>
      <c r="D1023" s="25"/>
      <c r="E1023" s="223">
        <v>1</v>
      </c>
      <c r="F1023" s="202"/>
      <c r="G1023" s="202"/>
      <c r="H1023" s="202"/>
      <c r="I1023" s="239"/>
      <c r="J1023" s="266">
        <v>1</v>
      </c>
      <c r="K1023" s="376"/>
    </row>
    <row r="1024" spans="1:11" ht="20.149999999999999" customHeight="1" x14ac:dyDescent="0.35">
      <c r="A1024"/>
      <c r="B1024" s="17"/>
      <c r="C1024" s="105" t="s">
        <v>770</v>
      </c>
      <c r="D1024" s="25"/>
      <c r="E1024" s="223">
        <v>1</v>
      </c>
      <c r="F1024" s="202"/>
      <c r="G1024" s="202"/>
      <c r="H1024" s="202"/>
      <c r="I1024" s="239"/>
      <c r="J1024" s="266">
        <v>1</v>
      </c>
      <c r="K1024" s="376"/>
    </row>
    <row r="1025" spans="1:11" ht="20.149999999999999" customHeight="1" x14ac:dyDescent="0.35">
      <c r="A1025"/>
      <c r="B1025" s="17"/>
      <c r="C1025" s="105" t="s">
        <v>771</v>
      </c>
      <c r="D1025" s="25"/>
      <c r="E1025" s="223"/>
      <c r="F1025" s="202">
        <v>1</v>
      </c>
      <c r="G1025" s="202"/>
      <c r="H1025" s="202"/>
      <c r="I1025" s="239"/>
      <c r="J1025" s="266">
        <v>1</v>
      </c>
      <c r="K1025" s="376"/>
    </row>
    <row r="1026" spans="1:11" ht="20.149999999999999" customHeight="1" x14ac:dyDescent="0.35">
      <c r="A1026"/>
      <c r="B1026" s="17"/>
      <c r="C1026" s="169" t="s">
        <v>772</v>
      </c>
      <c r="D1026" s="25"/>
      <c r="E1026" s="223"/>
      <c r="F1026" s="202">
        <v>1</v>
      </c>
      <c r="G1026" s="202"/>
      <c r="H1026" s="202"/>
      <c r="I1026" s="239"/>
      <c r="J1026" s="266">
        <v>1</v>
      </c>
      <c r="K1026" s="376"/>
    </row>
    <row r="1027" spans="1:11" ht="20.149999999999999" customHeight="1" x14ac:dyDescent="0.35">
      <c r="A1027"/>
      <c r="B1027" s="17"/>
      <c r="C1027" s="169" t="s">
        <v>773</v>
      </c>
      <c r="D1027" s="25"/>
      <c r="E1027" s="223"/>
      <c r="F1027" s="202">
        <v>1</v>
      </c>
      <c r="G1027" s="202"/>
      <c r="H1027" s="202"/>
      <c r="I1027" s="239"/>
      <c r="J1027" s="266">
        <v>1</v>
      </c>
      <c r="K1027" s="376"/>
    </row>
    <row r="1028" spans="1:11" ht="20.149999999999999" customHeight="1" x14ac:dyDescent="0.35">
      <c r="A1028"/>
      <c r="B1028" s="17"/>
      <c r="C1028" s="105" t="s">
        <v>774</v>
      </c>
      <c r="D1028" s="25"/>
      <c r="E1028" s="223"/>
      <c r="F1028" s="202">
        <v>1</v>
      </c>
      <c r="G1028" s="202"/>
      <c r="H1028" s="202"/>
      <c r="I1028" s="239"/>
      <c r="J1028" s="266">
        <v>1</v>
      </c>
      <c r="K1028" s="375"/>
    </row>
    <row r="1029" spans="1:11" ht="20.149999999999999" customHeight="1" x14ac:dyDescent="0.35">
      <c r="A1029"/>
      <c r="B1029" s="17"/>
      <c r="C1029" s="105" t="s">
        <v>775</v>
      </c>
      <c r="D1029" s="25"/>
      <c r="E1029" s="223">
        <v>1</v>
      </c>
      <c r="F1029" s="202"/>
      <c r="G1029" s="202"/>
      <c r="H1029" s="202"/>
      <c r="I1029" s="239"/>
      <c r="J1029" s="266">
        <v>1</v>
      </c>
      <c r="K1029" s="376"/>
    </row>
    <row r="1030" spans="1:11" ht="20.149999999999999" customHeight="1" x14ac:dyDescent="0.35">
      <c r="A1030"/>
      <c r="B1030" s="17"/>
      <c r="C1030" s="169" t="s">
        <v>776</v>
      </c>
      <c r="D1030" s="25"/>
      <c r="E1030" s="223">
        <v>1</v>
      </c>
      <c r="F1030" s="202"/>
      <c r="G1030" s="202"/>
      <c r="H1030" s="202"/>
      <c r="I1030" s="239"/>
      <c r="J1030" s="266">
        <v>1</v>
      </c>
      <c r="K1030" s="376"/>
    </row>
    <row r="1031" spans="1:11" ht="20.149999999999999" customHeight="1" x14ac:dyDescent="0.35">
      <c r="A1031"/>
      <c r="B1031" s="17"/>
      <c r="C1031" s="169" t="s">
        <v>777</v>
      </c>
      <c r="D1031" s="25"/>
      <c r="E1031" s="223">
        <v>1</v>
      </c>
      <c r="F1031" s="202"/>
      <c r="G1031" s="202"/>
      <c r="H1031" s="202"/>
      <c r="I1031" s="239"/>
      <c r="J1031" s="266">
        <v>1</v>
      </c>
      <c r="K1031" s="376"/>
    </row>
    <row r="1032" spans="1:11" ht="20.149999999999999" customHeight="1" x14ac:dyDescent="0.35">
      <c r="A1032"/>
      <c r="B1032" s="17"/>
      <c r="C1032" s="169" t="s">
        <v>385</v>
      </c>
      <c r="D1032" s="25"/>
      <c r="E1032" s="223">
        <v>1</v>
      </c>
      <c r="F1032" s="202"/>
      <c r="G1032" s="202"/>
      <c r="H1032" s="202"/>
      <c r="I1032" s="239"/>
      <c r="J1032" s="266">
        <v>1</v>
      </c>
      <c r="K1032" s="381"/>
    </row>
    <row r="1033" spans="1:11" ht="20.149999999999999" customHeight="1" x14ac:dyDescent="0.35">
      <c r="A1033"/>
      <c r="B1033" s="17"/>
      <c r="C1033" s="169" t="s">
        <v>778</v>
      </c>
      <c r="D1033" s="25"/>
      <c r="E1033" s="223">
        <v>1</v>
      </c>
      <c r="F1033" s="202"/>
      <c r="G1033" s="202"/>
      <c r="H1033" s="202"/>
      <c r="I1033" s="251"/>
      <c r="J1033" s="266">
        <v>1</v>
      </c>
      <c r="K1033" s="351"/>
    </row>
    <row r="1034" spans="1:11" ht="20.149999999999999" customHeight="1" x14ac:dyDescent="0.35">
      <c r="A1034"/>
      <c r="B1034" s="17"/>
      <c r="C1034" s="169" t="s">
        <v>779</v>
      </c>
      <c r="D1034" s="25"/>
      <c r="E1034" s="223">
        <v>1</v>
      </c>
      <c r="F1034" s="202"/>
      <c r="G1034" s="202"/>
      <c r="H1034" s="203"/>
      <c r="I1034" s="247"/>
      <c r="J1034" s="266">
        <v>1</v>
      </c>
      <c r="K1034" s="376"/>
    </row>
    <row r="1035" spans="1:11" ht="20.149999999999999" customHeight="1" x14ac:dyDescent="0.35">
      <c r="A1035"/>
      <c r="B1035" s="17"/>
      <c r="C1035" s="169" t="s">
        <v>780</v>
      </c>
      <c r="D1035" s="25"/>
      <c r="E1035" s="223">
        <v>1</v>
      </c>
      <c r="F1035" s="202"/>
      <c r="G1035" s="202"/>
      <c r="H1035" s="203"/>
      <c r="I1035" s="248"/>
      <c r="J1035" s="266">
        <v>1</v>
      </c>
      <c r="K1035" s="376"/>
    </row>
    <row r="1036" spans="1:11" ht="20.149999999999999" customHeight="1" x14ac:dyDescent="0.35">
      <c r="A1036"/>
      <c r="B1036" s="17"/>
      <c r="C1036" s="169" t="s">
        <v>781</v>
      </c>
      <c r="D1036" s="25"/>
      <c r="E1036" s="223">
        <v>1</v>
      </c>
      <c r="F1036" s="202"/>
      <c r="G1036" s="202"/>
      <c r="H1036" s="203"/>
      <c r="I1036" s="248"/>
      <c r="J1036" s="266">
        <v>1</v>
      </c>
      <c r="K1036" s="376"/>
    </row>
    <row r="1037" spans="1:11" ht="20.149999999999999" customHeight="1" x14ac:dyDescent="0.35">
      <c r="A1037"/>
      <c r="B1037" s="17"/>
      <c r="C1037" s="169" t="s">
        <v>782</v>
      </c>
      <c r="D1037" s="25"/>
      <c r="E1037" s="223"/>
      <c r="F1037" s="202">
        <v>1</v>
      </c>
      <c r="G1037" s="202"/>
      <c r="H1037" s="203"/>
      <c r="I1037" s="248"/>
      <c r="J1037" s="266">
        <v>1</v>
      </c>
      <c r="K1037" s="376"/>
    </row>
    <row r="1038" spans="1:11" ht="20.149999999999999" customHeight="1" x14ac:dyDescent="0.35">
      <c r="A1038"/>
      <c r="B1038" s="17"/>
      <c r="C1038" s="169" t="s">
        <v>783</v>
      </c>
      <c r="D1038" s="25"/>
      <c r="E1038" s="223">
        <v>1</v>
      </c>
      <c r="F1038" s="202"/>
      <c r="G1038" s="202"/>
      <c r="H1038" s="203"/>
      <c r="I1038" s="248"/>
      <c r="J1038" s="266">
        <v>1</v>
      </c>
      <c r="K1038" s="376"/>
    </row>
    <row r="1039" spans="1:11" ht="20.149999999999999" customHeight="1" x14ac:dyDescent="0.35">
      <c r="A1039"/>
      <c r="B1039" s="17"/>
      <c r="C1039" s="169" t="s">
        <v>784</v>
      </c>
      <c r="D1039" s="25"/>
      <c r="E1039" s="223"/>
      <c r="F1039" s="202">
        <v>1</v>
      </c>
      <c r="G1039" s="202"/>
      <c r="H1039" s="203"/>
      <c r="I1039" s="248"/>
      <c r="J1039" s="266">
        <v>1</v>
      </c>
      <c r="K1039" s="376"/>
    </row>
    <row r="1040" spans="1:11" ht="118.5" customHeight="1" x14ac:dyDescent="0.35">
      <c r="A1040"/>
      <c r="B1040" s="17"/>
      <c r="C1040" s="105" t="s">
        <v>785</v>
      </c>
      <c r="D1040" s="25"/>
      <c r="E1040" s="223">
        <v>1</v>
      </c>
      <c r="F1040" s="202"/>
      <c r="G1040" s="202"/>
      <c r="H1040" s="203"/>
      <c r="I1040" s="248"/>
      <c r="J1040" s="266">
        <v>1</v>
      </c>
      <c r="K1040" s="378" t="s">
        <v>723</v>
      </c>
    </row>
    <row r="1041" spans="1:11" ht="20.149999999999999" customHeight="1" x14ac:dyDescent="0.35">
      <c r="A1041"/>
      <c r="B1041" s="17"/>
      <c r="C1041" s="105" t="s">
        <v>455</v>
      </c>
      <c r="D1041" s="25"/>
      <c r="E1041" s="223">
        <v>1</v>
      </c>
      <c r="F1041" s="202"/>
      <c r="G1041" s="202"/>
      <c r="H1041" s="203"/>
      <c r="I1041" s="248"/>
      <c r="J1041" s="266">
        <v>1</v>
      </c>
      <c r="K1041" s="376"/>
    </row>
    <row r="1042" spans="1:11" ht="20.149999999999999" customHeight="1" x14ac:dyDescent="0.35">
      <c r="A1042"/>
      <c r="B1042" s="17"/>
      <c r="C1042" s="169" t="s">
        <v>63</v>
      </c>
      <c r="D1042" s="25"/>
      <c r="E1042" s="223">
        <v>1</v>
      </c>
      <c r="F1042" s="202"/>
      <c r="G1042" s="202"/>
      <c r="H1042" s="203"/>
      <c r="I1042" s="248"/>
      <c r="J1042" s="266">
        <v>1</v>
      </c>
      <c r="K1042" s="376"/>
    </row>
    <row r="1043" spans="1:11" ht="20.149999999999999" customHeight="1" x14ac:dyDescent="0.35">
      <c r="A1043"/>
      <c r="B1043" s="17"/>
      <c r="C1043" s="169" t="s">
        <v>786</v>
      </c>
      <c r="D1043" s="25"/>
      <c r="E1043" s="223">
        <v>1</v>
      </c>
      <c r="F1043" s="202"/>
      <c r="G1043" s="202"/>
      <c r="H1043" s="203"/>
      <c r="I1043" s="248"/>
      <c r="J1043" s="266">
        <v>1</v>
      </c>
      <c r="K1043" s="376"/>
    </row>
    <row r="1044" spans="1:11" ht="20.149999999999999" customHeight="1" x14ac:dyDescent="0.35">
      <c r="A1044"/>
      <c r="B1044" s="17"/>
      <c r="C1044" s="169" t="s">
        <v>787</v>
      </c>
      <c r="D1044" s="25"/>
      <c r="E1044" s="223">
        <v>1</v>
      </c>
      <c r="F1044" s="202"/>
      <c r="G1044" s="202"/>
      <c r="H1044" s="203"/>
      <c r="I1044" s="248"/>
      <c r="J1044" s="266">
        <v>1</v>
      </c>
      <c r="K1044" s="376"/>
    </row>
    <row r="1045" spans="1:11" ht="20.149999999999999" customHeight="1" x14ac:dyDescent="0.35">
      <c r="A1045"/>
      <c r="B1045" s="17"/>
      <c r="C1045" s="169" t="s">
        <v>317</v>
      </c>
      <c r="D1045" s="25"/>
      <c r="E1045" s="223">
        <v>1</v>
      </c>
      <c r="F1045" s="202"/>
      <c r="G1045" s="202"/>
      <c r="H1045" s="203"/>
      <c r="I1045" s="248"/>
      <c r="J1045" s="266">
        <v>1</v>
      </c>
      <c r="K1045" s="376"/>
    </row>
    <row r="1046" spans="1:11" ht="20.149999999999999" customHeight="1" x14ac:dyDescent="0.35">
      <c r="A1046"/>
      <c r="B1046" s="17"/>
      <c r="C1046" s="169" t="s">
        <v>321</v>
      </c>
      <c r="D1046" s="25"/>
      <c r="E1046" s="223">
        <v>1</v>
      </c>
      <c r="F1046" s="202"/>
      <c r="G1046" s="202"/>
      <c r="H1046" s="203"/>
      <c r="I1046" s="248"/>
      <c r="J1046" s="276">
        <v>1</v>
      </c>
      <c r="K1046" s="376"/>
    </row>
    <row r="1047" spans="1:11" ht="33" customHeight="1" x14ac:dyDescent="0.35">
      <c r="A1047"/>
      <c r="B1047" s="17"/>
      <c r="C1047" s="93" t="s">
        <v>788</v>
      </c>
      <c r="D1047" s="25"/>
      <c r="E1047" s="223"/>
      <c r="F1047" s="202">
        <v>1</v>
      </c>
      <c r="G1047" s="202"/>
      <c r="H1047" s="203"/>
      <c r="I1047" s="244"/>
      <c r="J1047" s="271">
        <v>1</v>
      </c>
      <c r="K1047" s="372"/>
    </row>
    <row r="1048" spans="1:11" ht="20.149999999999999" customHeight="1" x14ac:dyDescent="0.35">
      <c r="A1048"/>
      <c r="B1048" s="17"/>
      <c r="C1048" s="105" t="s">
        <v>789</v>
      </c>
      <c r="D1048" s="25"/>
      <c r="E1048" s="223">
        <v>1</v>
      </c>
      <c r="F1048" s="202"/>
      <c r="G1048" s="202"/>
      <c r="H1048" s="202"/>
      <c r="I1048" s="240"/>
      <c r="J1048" s="272">
        <v>1</v>
      </c>
      <c r="K1048" s="372"/>
    </row>
    <row r="1049" spans="1:11" ht="20.149999999999999" customHeight="1" x14ac:dyDescent="0.35">
      <c r="A1049"/>
      <c r="B1049" s="17"/>
      <c r="C1049" s="169" t="s">
        <v>790</v>
      </c>
      <c r="D1049" s="25"/>
      <c r="E1049" s="223">
        <v>1</v>
      </c>
      <c r="F1049" s="202"/>
      <c r="G1049" s="202"/>
      <c r="H1049" s="202"/>
      <c r="I1049" s="203"/>
      <c r="J1049" s="272">
        <v>1</v>
      </c>
      <c r="K1049" s="372"/>
    </row>
    <row r="1050" spans="1:11" ht="20.149999999999999" customHeight="1" x14ac:dyDescent="0.35">
      <c r="A1050"/>
      <c r="B1050" s="17"/>
      <c r="C1050" s="169" t="s">
        <v>791</v>
      </c>
      <c r="D1050" s="25"/>
      <c r="E1050" s="223">
        <v>1</v>
      </c>
      <c r="F1050" s="202"/>
      <c r="G1050" s="202"/>
      <c r="H1050" s="202"/>
      <c r="I1050" s="203"/>
      <c r="J1050" s="272">
        <v>1</v>
      </c>
      <c r="K1050" s="372"/>
    </row>
    <row r="1051" spans="1:11" ht="20.149999999999999" customHeight="1" x14ac:dyDescent="0.35">
      <c r="A1051"/>
      <c r="B1051" s="17"/>
      <c r="C1051" s="105" t="s">
        <v>792</v>
      </c>
      <c r="D1051" s="25"/>
      <c r="E1051" s="223">
        <v>1</v>
      </c>
      <c r="F1051" s="202"/>
      <c r="G1051" s="202"/>
      <c r="H1051" s="202"/>
      <c r="I1051" s="203"/>
      <c r="J1051" s="272">
        <v>1</v>
      </c>
      <c r="K1051" s="372"/>
    </row>
    <row r="1052" spans="1:11" ht="20.149999999999999" customHeight="1" x14ac:dyDescent="0.35">
      <c r="A1052"/>
      <c r="B1052" s="17"/>
      <c r="C1052" s="105" t="s">
        <v>793</v>
      </c>
      <c r="D1052" s="25"/>
      <c r="E1052" s="223">
        <v>1</v>
      </c>
      <c r="F1052" s="202"/>
      <c r="G1052" s="202"/>
      <c r="H1052" s="202"/>
      <c r="I1052" s="203"/>
      <c r="J1052" s="272">
        <v>1</v>
      </c>
      <c r="K1052" s="372"/>
    </row>
    <row r="1053" spans="1:11" ht="20.149999999999999" customHeight="1" x14ac:dyDescent="0.35">
      <c r="A1053"/>
      <c r="B1053" s="17"/>
      <c r="C1053" s="94" t="s">
        <v>794</v>
      </c>
      <c r="D1053" s="25"/>
      <c r="E1053" s="223">
        <v>1</v>
      </c>
      <c r="F1053" s="202"/>
      <c r="G1053" s="202"/>
      <c r="H1053" s="202"/>
      <c r="I1053" s="203"/>
      <c r="J1053" s="272">
        <v>1</v>
      </c>
      <c r="K1053" s="372"/>
    </row>
    <row r="1054" spans="1:11" ht="20.149999999999999" customHeight="1" x14ac:dyDescent="0.35">
      <c r="A1054"/>
      <c r="B1054" s="17"/>
      <c r="C1054" s="105" t="s">
        <v>795</v>
      </c>
      <c r="D1054"/>
      <c r="E1054" s="223">
        <v>1</v>
      </c>
      <c r="F1054" s="202"/>
      <c r="G1054" s="202"/>
      <c r="H1054" s="202"/>
      <c r="I1054" s="203"/>
      <c r="J1054" s="272">
        <v>1</v>
      </c>
      <c r="K1054" s="372"/>
    </row>
    <row r="1055" spans="1:11" ht="258.75" customHeight="1" x14ac:dyDescent="0.35">
      <c r="A1055"/>
      <c r="B1055" s="17"/>
      <c r="C1055" s="105" t="s">
        <v>796</v>
      </c>
      <c r="D1055"/>
      <c r="E1055" s="223">
        <v>1</v>
      </c>
      <c r="F1055" s="202"/>
      <c r="G1055" s="202"/>
      <c r="H1055" s="202"/>
      <c r="I1055" s="203"/>
      <c r="J1055" s="272">
        <v>1</v>
      </c>
      <c r="K1055" s="382" t="s">
        <v>797</v>
      </c>
    </row>
    <row r="1056" spans="1:11" ht="20.149999999999999" customHeight="1" x14ac:dyDescent="0.35">
      <c r="A1056"/>
      <c r="B1056" s="17"/>
      <c r="C1056" s="169" t="s">
        <v>798</v>
      </c>
      <c r="D1056"/>
      <c r="E1056" s="223">
        <v>1</v>
      </c>
      <c r="F1056" s="202"/>
      <c r="G1056" s="202"/>
      <c r="H1056" s="202"/>
      <c r="I1056" s="203"/>
      <c r="J1056" s="273">
        <v>1</v>
      </c>
      <c r="K1056" s="383"/>
    </row>
    <row r="1057" spans="1:11" ht="102.75" customHeight="1" x14ac:dyDescent="0.35">
      <c r="A1057"/>
      <c r="B1057" s="17"/>
      <c r="C1057" s="169" t="s">
        <v>799</v>
      </c>
      <c r="E1057" s="223">
        <v>1</v>
      </c>
      <c r="F1057" s="202"/>
      <c r="G1057" s="202"/>
      <c r="H1057" s="202"/>
      <c r="I1057" s="203"/>
      <c r="J1057" s="274">
        <v>1</v>
      </c>
      <c r="K1057" s="382" t="s">
        <v>800</v>
      </c>
    </row>
    <row r="1058" spans="1:11" ht="20.149999999999999" customHeight="1" x14ac:dyDescent="0.35">
      <c r="A1058"/>
      <c r="B1058" s="17"/>
      <c r="C1058" s="169" t="s">
        <v>801</v>
      </c>
      <c r="E1058" s="223">
        <v>1</v>
      </c>
      <c r="F1058" s="202"/>
      <c r="G1058" s="202"/>
      <c r="H1058" s="202"/>
      <c r="I1058" s="203"/>
      <c r="J1058" s="275">
        <v>1</v>
      </c>
      <c r="K1058" s="383" t="s">
        <v>802</v>
      </c>
    </row>
    <row r="1059" spans="1:11" ht="42.75" customHeight="1" x14ac:dyDescent="0.35">
      <c r="A1059"/>
      <c r="B1059" s="41"/>
      <c r="C1059" s="169" t="s">
        <v>803</v>
      </c>
      <c r="D1059" s="1"/>
      <c r="E1059" s="223">
        <v>1</v>
      </c>
      <c r="F1059" s="202"/>
      <c r="G1059" s="202"/>
      <c r="H1059" s="202"/>
      <c r="I1059" s="203"/>
      <c r="J1059" s="272">
        <v>1</v>
      </c>
      <c r="K1059" s="382"/>
    </row>
    <row r="1060" spans="1:11" ht="20.149999999999999" customHeight="1" x14ac:dyDescent="0.35">
      <c r="A1060"/>
      <c r="B1060" s="41"/>
      <c r="C1060" s="169" t="s">
        <v>804</v>
      </c>
      <c r="D1060" s="1"/>
      <c r="E1060" s="223"/>
      <c r="F1060" s="202"/>
      <c r="G1060" s="202"/>
      <c r="H1060" s="202">
        <v>1</v>
      </c>
      <c r="I1060" s="203"/>
      <c r="J1060" s="272"/>
      <c r="K1060" s="383"/>
    </row>
    <row r="1061" spans="1:11" ht="20.149999999999999" customHeight="1" x14ac:dyDescent="0.35">
      <c r="A1061"/>
      <c r="B1061" s="41"/>
      <c r="C1061" s="105" t="s">
        <v>805</v>
      </c>
      <c r="D1061" s="1"/>
      <c r="E1061" s="223">
        <v>1</v>
      </c>
      <c r="F1061" s="202"/>
      <c r="G1061" s="202"/>
      <c r="H1061" s="202"/>
      <c r="I1061" s="203"/>
      <c r="J1061" s="272">
        <v>1</v>
      </c>
      <c r="K1061" s="372"/>
    </row>
    <row r="1062" spans="1:11" ht="20.149999999999999" customHeight="1" x14ac:dyDescent="0.35">
      <c r="A1062"/>
      <c r="B1062" s="41"/>
      <c r="C1062" s="105" t="s">
        <v>806</v>
      </c>
      <c r="D1062" s="1"/>
      <c r="E1062" s="223">
        <v>1</v>
      </c>
      <c r="F1062" s="202"/>
      <c r="G1062" s="202"/>
      <c r="H1062" s="202"/>
      <c r="I1062" s="203"/>
      <c r="J1062" s="272">
        <v>1</v>
      </c>
      <c r="K1062" s="372"/>
    </row>
    <row r="1063" spans="1:11" ht="20.149999999999999" customHeight="1" x14ac:dyDescent="0.35">
      <c r="A1063"/>
      <c r="B1063" s="41"/>
      <c r="C1063" s="94" t="s">
        <v>807</v>
      </c>
      <c r="D1063" s="1"/>
      <c r="E1063" s="223">
        <v>1</v>
      </c>
      <c r="F1063" s="202"/>
      <c r="G1063" s="202"/>
      <c r="H1063" s="202"/>
      <c r="I1063" s="203"/>
      <c r="J1063" s="272">
        <v>1</v>
      </c>
      <c r="K1063" s="372"/>
    </row>
    <row r="1064" spans="1:11" ht="20.149999999999999" customHeight="1" x14ac:dyDescent="0.35">
      <c r="A1064"/>
      <c r="B1064" s="41"/>
      <c r="C1064" s="94" t="s">
        <v>808</v>
      </c>
      <c r="D1064" s="1"/>
      <c r="E1064" s="223">
        <v>1</v>
      </c>
      <c r="F1064" s="202"/>
      <c r="G1064" s="202"/>
      <c r="H1064" s="202"/>
      <c r="I1064" s="203"/>
      <c r="J1064" s="279">
        <v>1</v>
      </c>
      <c r="K1064" s="372"/>
    </row>
    <row r="1065" spans="1:11" ht="20.149999999999999" customHeight="1" thickBot="1" x14ac:dyDescent="0.4">
      <c r="A1065" s="64"/>
      <c r="B1065" s="17"/>
      <c r="C1065" s="124"/>
      <c r="D1065" s="24"/>
      <c r="E1065" s="225"/>
      <c r="F1065" s="226"/>
      <c r="G1065" s="226"/>
      <c r="H1065" s="226"/>
      <c r="I1065" s="227"/>
      <c r="J1065" s="262"/>
      <c r="K1065" s="377"/>
    </row>
    <row r="1066" spans="1:11" ht="20.149999999999999" customHeight="1" x14ac:dyDescent="0.35">
      <c r="A1066" s="64"/>
      <c r="B1066" s="17"/>
      <c r="C1066" s="125"/>
      <c r="D1066" s="24"/>
      <c r="E1066" s="211">
        <f t="shared" ref="E1066:J1066" si="24">SUM(E1018:E1065)</f>
        <v>39</v>
      </c>
      <c r="F1066" s="211">
        <f t="shared" si="24"/>
        <v>7</v>
      </c>
      <c r="G1066" s="211">
        <f t="shared" si="24"/>
        <v>0</v>
      </c>
      <c r="H1066" s="211">
        <f t="shared" si="24"/>
        <v>1</v>
      </c>
      <c r="I1066" s="211">
        <f t="shared" si="24"/>
        <v>0</v>
      </c>
      <c r="J1066" s="211">
        <f t="shared" si="24"/>
        <v>46</v>
      </c>
      <c r="K1066" s="330"/>
    </row>
    <row r="1067" spans="1:11" ht="20.149999999999999" customHeight="1" x14ac:dyDescent="0.35">
      <c r="A1067"/>
      <c r="B1067" s="41"/>
      <c r="C1067" s="40"/>
      <c r="D1067" s="1"/>
      <c r="E1067" s="265"/>
      <c r="F1067" s="265"/>
      <c r="G1067" s="265"/>
      <c r="H1067" s="265"/>
      <c r="I1067" s="265"/>
      <c r="J1067" s="265"/>
      <c r="K1067" s="185"/>
    </row>
    <row r="1068" spans="1:11" ht="20.149999999999999" customHeight="1" x14ac:dyDescent="0.35">
      <c r="A1068"/>
      <c r="B1068" s="117">
        <v>1.25</v>
      </c>
      <c r="C1068" s="100" t="s">
        <v>809</v>
      </c>
      <c r="D1068" s="21"/>
      <c r="E1068" s="196"/>
      <c r="F1068" s="196"/>
      <c r="G1068" s="196"/>
      <c r="H1068" s="196"/>
      <c r="I1068" s="196"/>
      <c r="J1068" s="196"/>
      <c r="K1068" s="320"/>
    </row>
    <row r="1069" spans="1:11" ht="20.149999999999999" customHeight="1" thickBot="1" x14ac:dyDescent="0.4">
      <c r="A1069"/>
      <c r="B1069" s="17"/>
      <c r="C1069" s="28"/>
      <c r="D1069" s="24"/>
      <c r="E1069" s="211"/>
      <c r="F1069" s="211"/>
      <c r="G1069" s="211"/>
      <c r="H1069" s="211"/>
      <c r="I1069" s="211"/>
      <c r="J1069" s="211"/>
      <c r="K1069" s="330"/>
    </row>
    <row r="1070" spans="1:11" ht="20.149999999999999" customHeight="1" x14ac:dyDescent="0.35">
      <c r="A1070"/>
      <c r="B1070" s="17"/>
      <c r="C1070" s="68" t="s">
        <v>38</v>
      </c>
      <c r="D1070" s="25"/>
      <c r="E1070" s="224" t="s">
        <v>20</v>
      </c>
      <c r="F1070" s="198" t="s">
        <v>24</v>
      </c>
      <c r="G1070" s="198" t="s">
        <v>27</v>
      </c>
      <c r="H1070" s="198" t="s">
        <v>29</v>
      </c>
      <c r="I1070" s="199" t="s">
        <v>32</v>
      </c>
      <c r="J1070" s="200" t="s">
        <v>35</v>
      </c>
      <c r="K1070" s="374" t="s">
        <v>39</v>
      </c>
    </row>
    <row r="1071" spans="1:11" ht="20.149999999999999" customHeight="1" x14ac:dyDescent="0.35">
      <c r="A1071"/>
      <c r="B1071" s="17"/>
      <c r="C1071" s="105" t="s">
        <v>810</v>
      </c>
      <c r="D1071" s="25"/>
      <c r="E1071" s="223">
        <v>1</v>
      </c>
      <c r="F1071" s="202"/>
      <c r="G1071" s="202"/>
      <c r="H1071" s="202"/>
      <c r="I1071" s="203"/>
      <c r="J1071" s="271">
        <v>1</v>
      </c>
      <c r="K1071" s="372"/>
    </row>
    <row r="1072" spans="1:11" ht="33" customHeight="1" x14ac:dyDescent="0.35">
      <c r="A1072"/>
      <c r="B1072" s="17"/>
      <c r="C1072" s="106" t="s">
        <v>811</v>
      </c>
      <c r="D1072" s="25"/>
      <c r="E1072" s="223">
        <v>1</v>
      </c>
      <c r="F1072" s="202"/>
      <c r="G1072" s="202"/>
      <c r="H1072" s="202"/>
      <c r="I1072" s="203"/>
      <c r="J1072" s="272">
        <v>1</v>
      </c>
      <c r="K1072" s="383"/>
    </row>
    <row r="1073" spans="1:11" ht="20.149999999999999" customHeight="1" x14ac:dyDescent="0.35">
      <c r="A1073"/>
      <c r="B1073" s="17"/>
      <c r="C1073" s="105" t="s">
        <v>812</v>
      </c>
      <c r="D1073" s="25"/>
      <c r="E1073" s="223">
        <v>1</v>
      </c>
      <c r="F1073" s="202"/>
      <c r="G1073" s="202"/>
      <c r="H1073" s="202"/>
      <c r="I1073" s="203"/>
      <c r="J1073" s="272">
        <v>1</v>
      </c>
      <c r="K1073" s="372"/>
    </row>
    <row r="1074" spans="1:11" ht="20.149999999999999" customHeight="1" x14ac:dyDescent="0.35">
      <c r="A1074"/>
      <c r="B1074" s="17"/>
      <c r="C1074" s="105" t="s">
        <v>813</v>
      </c>
      <c r="D1074" s="25"/>
      <c r="E1074" s="223">
        <v>1</v>
      </c>
      <c r="F1074" s="202"/>
      <c r="G1074" s="202"/>
      <c r="H1074" s="202"/>
      <c r="I1074" s="203"/>
      <c r="J1074" s="273">
        <v>1</v>
      </c>
      <c r="K1074" s="372"/>
    </row>
    <row r="1075" spans="1:11" ht="363" customHeight="1" x14ac:dyDescent="0.35">
      <c r="A1075"/>
      <c r="B1075" s="17"/>
      <c r="C1075" s="105" t="s">
        <v>814</v>
      </c>
      <c r="D1075" s="25"/>
      <c r="E1075" s="223">
        <v>1</v>
      </c>
      <c r="F1075" s="202"/>
      <c r="G1075" s="202"/>
      <c r="H1075" s="202"/>
      <c r="I1075" s="203"/>
      <c r="J1075" s="274">
        <v>1</v>
      </c>
      <c r="K1075" s="382" t="s">
        <v>815</v>
      </c>
    </row>
    <row r="1076" spans="1:11" ht="20.149999999999999" customHeight="1" x14ac:dyDescent="0.35">
      <c r="A1076"/>
      <c r="B1076" s="17"/>
      <c r="C1076" s="105" t="s">
        <v>816</v>
      </c>
      <c r="D1076" s="25"/>
      <c r="E1076" s="223">
        <v>1</v>
      </c>
      <c r="F1076" s="202"/>
      <c r="G1076" s="202"/>
      <c r="H1076" s="202"/>
      <c r="I1076" s="203"/>
      <c r="J1076" s="275">
        <v>1</v>
      </c>
      <c r="K1076" s="372"/>
    </row>
    <row r="1077" spans="1:11" ht="20.149999999999999" customHeight="1" x14ac:dyDescent="0.35">
      <c r="A1077"/>
      <c r="B1077" s="17"/>
      <c r="C1077" s="105" t="s">
        <v>817</v>
      </c>
      <c r="D1077" s="25"/>
      <c r="E1077" s="223">
        <v>1</v>
      </c>
      <c r="F1077" s="202"/>
      <c r="G1077" s="202"/>
      <c r="H1077" s="202"/>
      <c r="I1077" s="203"/>
      <c r="J1077" s="272">
        <v>1</v>
      </c>
      <c r="K1077" s="372"/>
    </row>
    <row r="1078" spans="1:11" ht="20.149999999999999" customHeight="1" x14ac:dyDescent="0.35">
      <c r="A1078"/>
      <c r="B1078" s="17"/>
      <c r="C1078" s="105" t="s">
        <v>818</v>
      </c>
      <c r="D1078" s="25"/>
      <c r="E1078" s="223">
        <v>1</v>
      </c>
      <c r="F1078" s="202"/>
      <c r="G1078" s="202"/>
      <c r="H1078" s="202"/>
      <c r="I1078" s="203"/>
      <c r="J1078" s="272">
        <v>1</v>
      </c>
      <c r="K1078" s="372"/>
    </row>
    <row r="1079" spans="1:11" ht="20.149999999999999" customHeight="1" x14ac:dyDescent="0.35">
      <c r="A1079"/>
      <c r="B1079" s="17"/>
      <c r="C1079" s="105"/>
      <c r="D1079" s="25"/>
      <c r="E1079" s="223"/>
      <c r="F1079" s="202"/>
      <c r="G1079" s="202"/>
      <c r="H1079" s="202"/>
      <c r="I1079" s="203"/>
      <c r="J1079" s="249"/>
      <c r="K1079" s="372"/>
    </row>
    <row r="1080" spans="1:11" ht="20.149999999999999" customHeight="1" x14ac:dyDescent="0.35">
      <c r="A1080"/>
      <c r="B1080" s="17"/>
      <c r="C1080" s="158" t="s">
        <v>819</v>
      </c>
      <c r="D1080" s="25"/>
      <c r="E1080" s="223"/>
      <c r="F1080" s="202"/>
      <c r="G1080" s="202"/>
      <c r="H1080" s="202"/>
      <c r="I1080" s="203"/>
      <c r="J1080" s="247"/>
      <c r="K1080" s="372"/>
    </row>
    <row r="1081" spans="1:11" ht="20.149999999999999" customHeight="1" x14ac:dyDescent="0.35">
      <c r="A1081"/>
      <c r="B1081" s="17"/>
      <c r="C1081" s="105" t="s">
        <v>820</v>
      </c>
      <c r="D1081" s="25"/>
      <c r="E1081" s="223">
        <v>1</v>
      </c>
      <c r="F1081" s="202"/>
      <c r="G1081" s="202"/>
      <c r="H1081" s="202"/>
      <c r="I1081" s="203"/>
      <c r="J1081" s="272">
        <v>1</v>
      </c>
      <c r="K1081" s="372"/>
    </row>
    <row r="1082" spans="1:11" ht="20.149999999999999" customHeight="1" x14ac:dyDescent="0.35">
      <c r="A1082"/>
      <c r="B1082" s="17"/>
      <c r="C1082" s="105" t="s">
        <v>821</v>
      </c>
      <c r="D1082" s="25"/>
      <c r="E1082" s="223">
        <v>1</v>
      </c>
      <c r="F1082" s="202"/>
      <c r="G1082" s="202"/>
      <c r="H1082" s="202"/>
      <c r="I1082" s="203"/>
      <c r="J1082" s="272">
        <v>1</v>
      </c>
      <c r="K1082" s="372"/>
    </row>
    <row r="1083" spans="1:11" ht="30" customHeight="1" x14ac:dyDescent="0.35">
      <c r="A1083"/>
      <c r="B1083" s="17"/>
      <c r="C1083" s="106" t="s">
        <v>822</v>
      </c>
      <c r="D1083" s="25"/>
      <c r="E1083" s="223">
        <v>1</v>
      </c>
      <c r="F1083" s="202"/>
      <c r="G1083" s="202"/>
      <c r="H1083" s="202"/>
      <c r="I1083" s="203"/>
      <c r="J1083" s="272">
        <v>1</v>
      </c>
      <c r="K1083" s="372"/>
    </row>
    <row r="1084" spans="1:11" ht="20.149999999999999" customHeight="1" x14ac:dyDescent="0.35">
      <c r="A1084"/>
      <c r="B1084" s="17"/>
      <c r="C1084" s="105" t="s">
        <v>823</v>
      </c>
      <c r="D1084" s="25"/>
      <c r="E1084" s="223">
        <v>1</v>
      </c>
      <c r="F1084" s="202"/>
      <c r="G1084" s="202"/>
      <c r="H1084" s="202"/>
      <c r="I1084" s="203"/>
      <c r="J1084" s="272">
        <v>1</v>
      </c>
      <c r="K1084" s="372"/>
    </row>
    <row r="1085" spans="1:11" ht="20.149999999999999" customHeight="1" x14ac:dyDescent="0.35">
      <c r="A1085"/>
      <c r="B1085" s="17"/>
      <c r="C1085" s="105" t="s">
        <v>824</v>
      </c>
      <c r="D1085" s="25"/>
      <c r="E1085" s="223">
        <v>1</v>
      </c>
      <c r="F1085" s="202"/>
      <c r="G1085" s="202"/>
      <c r="H1085" s="202"/>
      <c r="I1085" s="203"/>
      <c r="J1085" s="272">
        <v>1</v>
      </c>
      <c r="K1085" s="372"/>
    </row>
    <row r="1086" spans="1:11" ht="20.149999999999999" customHeight="1" thickBot="1" x14ac:dyDescent="0.4">
      <c r="A1086" s="64"/>
      <c r="B1086" s="17"/>
      <c r="C1086" s="124"/>
      <c r="D1086" s="24"/>
      <c r="E1086" s="225"/>
      <c r="F1086" s="226"/>
      <c r="G1086" s="226"/>
      <c r="H1086" s="226"/>
      <c r="I1086" s="227"/>
      <c r="J1086" s="264"/>
      <c r="K1086" s="384"/>
    </row>
    <row r="1087" spans="1:11" ht="20.149999999999999" customHeight="1" x14ac:dyDescent="0.35">
      <c r="A1087" s="64"/>
      <c r="B1087" s="17"/>
      <c r="C1087" s="125"/>
      <c r="D1087" s="24"/>
      <c r="E1087" s="211">
        <f t="shared" ref="E1087:J1087" si="25">SUM(E1071:E1086)</f>
        <v>13</v>
      </c>
      <c r="F1087" s="211">
        <f t="shared" si="25"/>
        <v>0</v>
      </c>
      <c r="G1087" s="211">
        <f t="shared" si="25"/>
        <v>0</v>
      </c>
      <c r="H1087" s="211">
        <f t="shared" si="25"/>
        <v>0</v>
      </c>
      <c r="I1087" s="211">
        <f t="shared" si="25"/>
        <v>0</v>
      </c>
      <c r="J1087" s="211">
        <f t="shared" si="25"/>
        <v>13</v>
      </c>
      <c r="K1087" s="330"/>
    </row>
    <row r="1088" spans="1:11" ht="20.149999999999999" customHeight="1" x14ac:dyDescent="0.35">
      <c r="A1088"/>
      <c r="B1088" s="41"/>
      <c r="C1088" s="40"/>
      <c r="D1088" s="1"/>
      <c r="E1088" s="265"/>
      <c r="F1088" s="265"/>
      <c r="G1088" s="265"/>
      <c r="H1088" s="265"/>
      <c r="I1088" s="265"/>
      <c r="J1088" s="265"/>
      <c r="K1088" s="185"/>
    </row>
    <row r="1089" spans="1:11" ht="20.149999999999999" customHeight="1" x14ac:dyDescent="0.35">
      <c r="A1089"/>
      <c r="B1089" s="117">
        <v>1.26</v>
      </c>
      <c r="C1089" s="100" t="s">
        <v>819</v>
      </c>
      <c r="D1089" s="21"/>
      <c r="E1089" s="196"/>
      <c r="F1089" s="196"/>
      <c r="G1089" s="196"/>
      <c r="H1089" s="196"/>
      <c r="I1089" s="196"/>
      <c r="J1089" s="196"/>
      <c r="K1089" s="320"/>
    </row>
    <row r="1090" spans="1:11" ht="20.149999999999999" customHeight="1" thickBot="1" x14ac:dyDescent="0.4">
      <c r="A1090"/>
      <c r="B1090" s="17"/>
      <c r="C1090" s="28"/>
      <c r="D1090" s="24"/>
      <c r="E1090" s="211"/>
      <c r="F1090" s="211"/>
      <c r="G1090" s="211"/>
      <c r="H1090" s="211"/>
      <c r="I1090" s="211"/>
      <c r="J1090" s="211"/>
      <c r="K1090" s="330"/>
    </row>
    <row r="1091" spans="1:11" ht="20.149999999999999" customHeight="1" x14ac:dyDescent="0.35">
      <c r="A1091"/>
      <c r="B1091" s="17"/>
      <c r="C1091" s="68" t="s">
        <v>38</v>
      </c>
      <c r="D1091" s="25"/>
      <c r="E1091" s="224" t="s">
        <v>20</v>
      </c>
      <c r="F1091" s="198" t="s">
        <v>24</v>
      </c>
      <c r="G1091" s="198" t="s">
        <v>27</v>
      </c>
      <c r="H1091" s="198" t="s">
        <v>29</v>
      </c>
      <c r="I1091" s="199" t="s">
        <v>32</v>
      </c>
      <c r="J1091" s="200" t="s">
        <v>35</v>
      </c>
      <c r="K1091" s="374" t="s">
        <v>39</v>
      </c>
    </row>
    <row r="1092" spans="1:11" ht="20.149999999999999" customHeight="1" x14ac:dyDescent="0.35">
      <c r="A1092"/>
      <c r="B1092" s="17"/>
      <c r="C1092" s="105" t="s">
        <v>825</v>
      </c>
      <c r="D1092" s="25"/>
      <c r="E1092" s="223"/>
      <c r="F1092" s="202"/>
      <c r="G1092" s="202"/>
      <c r="H1092" s="202"/>
      <c r="I1092" s="203"/>
      <c r="J1092" s="203"/>
      <c r="K1092" s="376" t="s">
        <v>523</v>
      </c>
    </row>
    <row r="1093" spans="1:11" ht="20.149999999999999" customHeight="1" thickBot="1" x14ac:dyDescent="0.4">
      <c r="A1093" s="64"/>
      <c r="B1093" s="17"/>
      <c r="C1093" s="186"/>
      <c r="D1093" s="24"/>
      <c r="E1093" s="225"/>
      <c r="F1093" s="226"/>
      <c r="G1093" s="226"/>
      <c r="H1093" s="226"/>
      <c r="I1093" s="227"/>
      <c r="J1093" s="227"/>
      <c r="K1093" s="377"/>
    </row>
    <row r="1094" spans="1:11" ht="20.149999999999999" customHeight="1" x14ac:dyDescent="0.35">
      <c r="A1094" s="64"/>
      <c r="B1094" s="17"/>
      <c r="C1094" s="125"/>
      <c r="D1094" s="24"/>
      <c r="E1094" s="211">
        <f t="shared" ref="E1094:J1094" si="26">SUM(E1092:E1093)</f>
        <v>0</v>
      </c>
      <c r="F1094" s="211">
        <f t="shared" si="26"/>
        <v>0</v>
      </c>
      <c r="G1094" s="211">
        <f t="shared" si="26"/>
        <v>0</v>
      </c>
      <c r="H1094" s="211">
        <f t="shared" si="26"/>
        <v>0</v>
      </c>
      <c r="I1094" s="211">
        <f t="shared" si="26"/>
        <v>0</v>
      </c>
      <c r="J1094" s="211">
        <f t="shared" si="26"/>
        <v>0</v>
      </c>
      <c r="K1094" s="330"/>
    </row>
    <row r="1095" spans="1:11" ht="20.149999999999999" customHeight="1" x14ac:dyDescent="0.35">
      <c r="A1095"/>
      <c r="B1095" s="41"/>
      <c r="C1095" s="40"/>
      <c r="D1095" s="1"/>
      <c r="E1095" s="265"/>
      <c r="F1095" s="265"/>
      <c r="G1095" s="265"/>
      <c r="H1095" s="265"/>
      <c r="I1095" s="265"/>
      <c r="J1095" s="265"/>
      <c r="K1095" s="185"/>
    </row>
    <row r="1096" spans="1:11" ht="20.149999999999999" customHeight="1" x14ac:dyDescent="0.35">
      <c r="A1096"/>
      <c r="B1096" s="117">
        <v>1.27</v>
      </c>
      <c r="C1096" s="100" t="s">
        <v>826</v>
      </c>
      <c r="D1096" s="21"/>
      <c r="E1096" s="196"/>
      <c r="F1096" s="196"/>
      <c r="G1096" s="196"/>
      <c r="H1096" s="196"/>
      <c r="I1096" s="196"/>
      <c r="J1096" s="196"/>
      <c r="K1096" s="320"/>
    </row>
    <row r="1097" spans="1:11" ht="20.149999999999999" customHeight="1" thickBot="1" x14ac:dyDescent="0.4">
      <c r="A1097"/>
      <c r="B1097" s="17"/>
      <c r="C1097" s="28"/>
      <c r="D1097" s="24"/>
      <c r="E1097" s="211"/>
      <c r="F1097" s="211"/>
      <c r="G1097" s="211"/>
      <c r="H1097" s="211"/>
      <c r="I1097" s="211"/>
      <c r="J1097" s="211"/>
      <c r="K1097" s="330"/>
    </row>
    <row r="1098" spans="1:11" ht="20.149999999999999" customHeight="1" x14ac:dyDescent="0.35">
      <c r="A1098"/>
      <c r="B1098" s="17"/>
      <c r="C1098" s="68" t="s">
        <v>38</v>
      </c>
      <c r="D1098" s="25"/>
      <c r="E1098" s="224" t="s">
        <v>20</v>
      </c>
      <c r="F1098" s="198" t="s">
        <v>24</v>
      </c>
      <c r="G1098" s="198" t="s">
        <v>27</v>
      </c>
      <c r="H1098" s="198" t="s">
        <v>29</v>
      </c>
      <c r="I1098" s="199" t="s">
        <v>32</v>
      </c>
      <c r="J1098" s="200" t="s">
        <v>35</v>
      </c>
      <c r="K1098" s="374" t="s">
        <v>39</v>
      </c>
    </row>
    <row r="1099" spans="1:11" ht="20.149999999999999" customHeight="1" x14ac:dyDescent="0.35">
      <c r="A1099"/>
      <c r="B1099" s="17"/>
      <c r="C1099" s="105" t="s">
        <v>827</v>
      </c>
      <c r="D1099" s="25"/>
      <c r="E1099" s="223">
        <v>1</v>
      </c>
      <c r="F1099" s="202"/>
      <c r="G1099" s="202"/>
      <c r="H1099" s="203"/>
      <c r="I1099" s="247"/>
      <c r="J1099" s="266">
        <v>1</v>
      </c>
      <c r="K1099" s="376"/>
    </row>
    <row r="1100" spans="1:11" ht="20.149999999999999" customHeight="1" x14ac:dyDescent="0.35">
      <c r="A1100"/>
      <c r="B1100" s="17"/>
      <c r="C1100" s="169" t="s">
        <v>828</v>
      </c>
      <c r="D1100" s="25"/>
      <c r="E1100" s="223">
        <v>1</v>
      </c>
      <c r="F1100" s="202"/>
      <c r="G1100" s="202"/>
      <c r="H1100" s="203"/>
      <c r="I1100" s="248"/>
      <c r="J1100" s="266">
        <v>1</v>
      </c>
      <c r="K1100" s="376"/>
    </row>
    <row r="1101" spans="1:11" ht="20.149999999999999" customHeight="1" x14ac:dyDescent="0.35">
      <c r="A1101"/>
      <c r="B1101" s="17"/>
      <c r="C1101" s="169" t="s">
        <v>829</v>
      </c>
      <c r="D1101" s="25"/>
      <c r="E1101" s="223">
        <v>1</v>
      </c>
      <c r="F1101" s="202"/>
      <c r="G1101" s="202"/>
      <c r="H1101" s="203"/>
      <c r="I1101" s="248"/>
      <c r="J1101" s="266">
        <v>1</v>
      </c>
      <c r="K1101" s="376"/>
    </row>
    <row r="1102" spans="1:11" ht="20.149999999999999" customHeight="1" x14ac:dyDescent="0.35">
      <c r="A1102"/>
      <c r="B1102" s="17"/>
      <c r="C1102" s="169" t="s">
        <v>830</v>
      </c>
      <c r="D1102" s="25"/>
      <c r="E1102" s="223">
        <v>1</v>
      </c>
      <c r="F1102" s="202"/>
      <c r="G1102" s="202"/>
      <c r="H1102" s="203"/>
      <c r="I1102" s="248"/>
      <c r="J1102" s="266">
        <v>1</v>
      </c>
      <c r="K1102" s="376"/>
    </row>
    <row r="1103" spans="1:11" ht="20.149999999999999" customHeight="1" x14ac:dyDescent="0.35">
      <c r="A1103"/>
      <c r="B1103" s="17"/>
      <c r="C1103" s="169" t="s">
        <v>831</v>
      </c>
      <c r="D1103" s="25"/>
      <c r="E1103" s="223">
        <v>1</v>
      </c>
      <c r="F1103" s="202"/>
      <c r="G1103" s="202"/>
      <c r="H1103" s="203"/>
      <c r="I1103" s="248"/>
      <c r="J1103" s="266">
        <v>1</v>
      </c>
      <c r="K1103" s="376"/>
    </row>
    <row r="1104" spans="1:11" ht="20.149999999999999" customHeight="1" x14ac:dyDescent="0.35">
      <c r="A1104"/>
      <c r="B1104" s="17"/>
      <c r="C1104" s="169" t="s">
        <v>832</v>
      </c>
      <c r="D1104" s="25"/>
      <c r="E1104" s="223">
        <v>1</v>
      </c>
      <c r="F1104" s="202"/>
      <c r="G1104" s="202"/>
      <c r="H1104" s="203"/>
      <c r="I1104" s="248"/>
      <c r="J1104" s="266">
        <v>1</v>
      </c>
      <c r="K1104" s="376"/>
    </row>
    <row r="1105" spans="1:11" ht="20.149999999999999" customHeight="1" x14ac:dyDescent="0.35">
      <c r="A1105"/>
      <c r="B1105" s="17"/>
      <c r="C1105" s="105" t="s">
        <v>833</v>
      </c>
      <c r="D1105" s="25"/>
      <c r="E1105" s="223">
        <v>1</v>
      </c>
      <c r="F1105" s="202"/>
      <c r="G1105" s="202"/>
      <c r="H1105" s="203"/>
      <c r="I1105" s="248"/>
      <c r="J1105" s="266">
        <v>1</v>
      </c>
      <c r="K1105" s="376"/>
    </row>
    <row r="1106" spans="1:11" ht="20.149999999999999" customHeight="1" x14ac:dyDescent="0.35">
      <c r="A1106"/>
      <c r="B1106" s="17"/>
      <c r="C1106" s="105" t="s">
        <v>834</v>
      </c>
      <c r="D1106" s="25"/>
      <c r="E1106" s="223">
        <v>1</v>
      </c>
      <c r="F1106" s="202"/>
      <c r="G1106" s="202"/>
      <c r="H1106" s="203"/>
      <c r="I1106" s="248"/>
      <c r="J1106" s="266">
        <v>1</v>
      </c>
      <c r="K1106" s="375"/>
    </row>
    <row r="1107" spans="1:11" ht="20.149999999999999" customHeight="1" x14ac:dyDescent="0.35">
      <c r="A1107"/>
      <c r="B1107" s="17"/>
      <c r="C1107" s="169" t="s">
        <v>835</v>
      </c>
      <c r="D1107" s="25"/>
      <c r="E1107" s="223">
        <v>1</v>
      </c>
      <c r="F1107" s="202"/>
      <c r="G1107" s="202"/>
      <c r="H1107" s="203"/>
      <c r="I1107" s="254"/>
      <c r="J1107" s="276">
        <v>1</v>
      </c>
      <c r="K1107" s="376"/>
    </row>
    <row r="1108" spans="1:11" ht="20.149999999999999" customHeight="1" x14ac:dyDescent="0.35">
      <c r="A1108"/>
      <c r="B1108" s="17"/>
      <c r="C1108" s="169" t="s">
        <v>836</v>
      </c>
      <c r="D1108" s="25"/>
      <c r="E1108" s="223">
        <v>1</v>
      </c>
      <c r="F1108" s="202"/>
      <c r="G1108" s="202"/>
      <c r="H1108" s="203"/>
      <c r="I1108" s="255"/>
      <c r="J1108" s="317">
        <v>1</v>
      </c>
      <c r="K1108" s="372"/>
    </row>
    <row r="1109" spans="1:11" ht="20.149999999999999" customHeight="1" x14ac:dyDescent="0.35">
      <c r="A1109"/>
      <c r="B1109" s="17"/>
      <c r="C1109" s="169" t="s">
        <v>837</v>
      </c>
      <c r="D1109" s="25"/>
      <c r="E1109" s="223">
        <v>1</v>
      </c>
      <c r="F1109" s="202"/>
      <c r="G1109" s="202"/>
      <c r="H1109" s="203"/>
      <c r="I1109" s="256"/>
      <c r="J1109" s="318">
        <v>1</v>
      </c>
      <c r="K1109" s="372"/>
    </row>
    <row r="1110" spans="1:11" ht="20.149999999999999" customHeight="1" x14ac:dyDescent="0.35">
      <c r="A1110"/>
      <c r="B1110" s="17"/>
      <c r="C1110" s="169" t="s">
        <v>838</v>
      </c>
      <c r="D1110" s="25"/>
      <c r="E1110" s="223">
        <v>1</v>
      </c>
      <c r="F1110" s="202"/>
      <c r="G1110" s="202"/>
      <c r="H1110" s="203"/>
      <c r="I1110" s="248"/>
      <c r="J1110" s="318">
        <v>1</v>
      </c>
      <c r="K1110" s="372"/>
    </row>
    <row r="1111" spans="1:11" ht="20.149999999999999" customHeight="1" x14ac:dyDescent="0.35">
      <c r="A1111"/>
      <c r="B1111" s="17"/>
      <c r="C1111" s="169" t="s">
        <v>839</v>
      </c>
      <c r="D1111" s="25"/>
      <c r="E1111" s="223">
        <v>1</v>
      </c>
      <c r="F1111" s="202"/>
      <c r="G1111" s="202"/>
      <c r="H1111" s="203"/>
      <c r="I1111" s="248"/>
      <c r="J1111" s="318">
        <v>1</v>
      </c>
      <c r="K1111" s="372"/>
    </row>
    <row r="1112" spans="1:11" ht="20.149999999999999" customHeight="1" x14ac:dyDescent="0.35">
      <c r="A1112"/>
      <c r="B1112" s="17"/>
      <c r="C1112" s="169" t="s">
        <v>840</v>
      </c>
      <c r="D1112" s="25"/>
      <c r="E1112" s="223">
        <v>1</v>
      </c>
      <c r="F1112" s="202"/>
      <c r="G1112" s="202"/>
      <c r="H1112" s="203"/>
      <c r="I1112" s="248"/>
      <c r="J1112" s="318">
        <v>1</v>
      </c>
      <c r="K1112" s="372"/>
    </row>
    <row r="1113" spans="1:11" ht="20.149999999999999" customHeight="1" x14ac:dyDescent="0.35">
      <c r="A1113"/>
      <c r="B1113" s="17"/>
      <c r="C1113" s="169" t="s">
        <v>841</v>
      </c>
      <c r="D1113" s="25"/>
      <c r="E1113" s="223">
        <v>1</v>
      </c>
      <c r="F1113" s="202"/>
      <c r="G1113" s="202"/>
      <c r="H1113" s="203"/>
      <c r="I1113" s="248"/>
      <c r="J1113" s="318">
        <v>1</v>
      </c>
      <c r="K1113" s="372"/>
    </row>
    <row r="1114" spans="1:11" ht="20.149999999999999" customHeight="1" x14ac:dyDescent="0.35">
      <c r="A1114"/>
      <c r="B1114" s="17"/>
      <c r="C1114" s="169" t="s">
        <v>842</v>
      </c>
      <c r="D1114" s="25"/>
      <c r="E1114" s="223">
        <v>1</v>
      </c>
      <c r="F1114" s="202"/>
      <c r="G1114" s="202"/>
      <c r="H1114" s="203"/>
      <c r="I1114" s="248"/>
      <c r="J1114" s="318">
        <v>1</v>
      </c>
      <c r="K1114" s="372"/>
    </row>
    <row r="1115" spans="1:11" ht="20.149999999999999" customHeight="1" x14ac:dyDescent="0.35">
      <c r="A1115"/>
      <c r="B1115" s="17"/>
      <c r="C1115" s="169" t="s">
        <v>843</v>
      </c>
      <c r="D1115" s="25"/>
      <c r="E1115" s="223">
        <v>1</v>
      </c>
      <c r="F1115" s="202"/>
      <c r="G1115" s="202"/>
      <c r="H1115" s="203"/>
      <c r="I1115" s="248"/>
      <c r="J1115" s="318">
        <v>1</v>
      </c>
      <c r="K1115" s="372"/>
    </row>
    <row r="1116" spans="1:11" ht="20.149999999999999" customHeight="1" x14ac:dyDescent="0.35">
      <c r="A1116"/>
      <c r="B1116" s="17"/>
      <c r="C1116" s="105" t="s">
        <v>844</v>
      </c>
      <c r="D1116" s="25"/>
      <c r="E1116" s="223"/>
      <c r="F1116" s="202">
        <v>1</v>
      </c>
      <c r="G1116" s="202"/>
      <c r="H1116" s="203"/>
      <c r="I1116" s="248"/>
      <c r="J1116" s="318">
        <v>1</v>
      </c>
      <c r="K1116" s="372"/>
    </row>
    <row r="1117" spans="1:11" ht="20.149999999999999" customHeight="1" x14ac:dyDescent="0.35">
      <c r="A1117"/>
      <c r="B1117" s="17"/>
      <c r="C1117" s="169" t="s">
        <v>845</v>
      </c>
      <c r="D1117" s="25"/>
      <c r="E1117" s="223"/>
      <c r="F1117" s="202">
        <v>1</v>
      </c>
      <c r="G1117" s="202"/>
      <c r="H1117" s="203"/>
      <c r="I1117" s="248"/>
      <c r="J1117" s="318">
        <v>1</v>
      </c>
      <c r="K1117" s="372"/>
    </row>
    <row r="1118" spans="1:11" ht="20.149999999999999" customHeight="1" x14ac:dyDescent="0.35">
      <c r="A1118"/>
      <c r="B1118" s="17"/>
      <c r="C1118" s="169" t="s">
        <v>846</v>
      </c>
      <c r="D1118" s="25"/>
      <c r="E1118" s="223"/>
      <c r="F1118" s="202">
        <v>1</v>
      </c>
      <c r="G1118" s="202"/>
      <c r="H1118" s="203"/>
      <c r="I1118" s="248"/>
      <c r="J1118" s="318">
        <v>1</v>
      </c>
      <c r="K1118" s="372"/>
    </row>
    <row r="1119" spans="1:11" ht="20.149999999999999" customHeight="1" x14ac:dyDescent="0.35">
      <c r="A1119"/>
      <c r="B1119" s="17"/>
      <c r="C1119" s="105" t="s">
        <v>847</v>
      </c>
      <c r="D1119" s="25"/>
      <c r="E1119" s="223">
        <v>1</v>
      </c>
      <c r="F1119" s="202"/>
      <c r="G1119" s="202"/>
      <c r="H1119" s="203"/>
      <c r="I1119" s="254"/>
      <c r="J1119" s="318">
        <v>1</v>
      </c>
      <c r="K1119" s="372"/>
    </row>
    <row r="1120" spans="1:11" ht="92.25" customHeight="1" x14ac:dyDescent="0.35">
      <c r="A1120"/>
      <c r="B1120" s="17"/>
      <c r="C1120" s="105" t="s">
        <v>848</v>
      </c>
      <c r="D1120" s="25"/>
      <c r="E1120" s="223">
        <v>1</v>
      </c>
      <c r="F1120" s="202"/>
      <c r="G1120" s="202"/>
      <c r="H1120" s="203"/>
      <c r="I1120" s="255"/>
      <c r="J1120" s="304">
        <v>1</v>
      </c>
      <c r="K1120" s="382" t="s">
        <v>849</v>
      </c>
    </row>
    <row r="1121" spans="1:11" ht="20.149999999999999" customHeight="1" x14ac:dyDescent="0.35">
      <c r="A1121"/>
      <c r="B1121" s="17"/>
      <c r="C1121" s="105" t="s">
        <v>312</v>
      </c>
      <c r="D1121" s="25"/>
      <c r="E1121" s="223">
        <v>1</v>
      </c>
      <c r="F1121" s="202"/>
      <c r="G1121" s="202"/>
      <c r="H1121" s="203"/>
      <c r="I1121" s="256"/>
      <c r="J1121" s="305">
        <v>1</v>
      </c>
      <c r="K1121" s="375"/>
    </row>
    <row r="1122" spans="1:11" ht="20.149999999999999" customHeight="1" x14ac:dyDescent="0.35">
      <c r="A1122"/>
      <c r="B1122" s="17"/>
      <c r="C1122" s="169" t="s">
        <v>850</v>
      </c>
      <c r="D1122" s="25"/>
      <c r="E1122" s="223">
        <v>1</v>
      </c>
      <c r="F1122" s="202"/>
      <c r="G1122" s="202"/>
      <c r="H1122" s="203"/>
      <c r="I1122" s="248"/>
      <c r="J1122" s="266">
        <v>1</v>
      </c>
      <c r="K1122" s="375"/>
    </row>
    <row r="1123" spans="1:11" ht="20.149999999999999" customHeight="1" x14ac:dyDescent="0.35">
      <c r="A1123"/>
      <c r="B1123" s="17"/>
      <c r="C1123" s="169" t="s">
        <v>851</v>
      </c>
      <c r="D1123" s="25"/>
      <c r="E1123" s="223">
        <v>1</v>
      </c>
      <c r="F1123" s="202"/>
      <c r="G1123" s="202"/>
      <c r="H1123" s="203"/>
      <c r="I1123" s="248"/>
      <c r="J1123" s="266">
        <v>1</v>
      </c>
      <c r="K1123" s="375"/>
    </row>
    <row r="1124" spans="1:11" ht="20.149999999999999" customHeight="1" x14ac:dyDescent="0.35">
      <c r="A1124"/>
      <c r="B1124" s="17"/>
      <c r="C1124" s="169" t="s">
        <v>852</v>
      </c>
      <c r="D1124" s="25"/>
      <c r="E1124" s="223">
        <v>1</v>
      </c>
      <c r="F1124" s="202"/>
      <c r="G1124" s="202"/>
      <c r="H1124" s="203"/>
      <c r="I1124" s="248"/>
      <c r="J1124" s="266">
        <v>1</v>
      </c>
      <c r="K1124" s="375"/>
    </row>
    <row r="1125" spans="1:11" ht="20.149999999999999" customHeight="1" x14ac:dyDescent="0.35">
      <c r="A1125"/>
      <c r="B1125" s="17"/>
      <c r="C1125" s="169" t="s">
        <v>853</v>
      </c>
      <c r="D1125" s="25"/>
      <c r="E1125" s="223">
        <v>1</v>
      </c>
      <c r="F1125" s="202"/>
      <c r="G1125" s="202"/>
      <c r="H1125" s="203"/>
      <c r="I1125" s="248"/>
      <c r="J1125" s="266">
        <v>1</v>
      </c>
      <c r="K1125" s="375"/>
    </row>
    <row r="1126" spans="1:11" ht="103.5" customHeight="1" x14ac:dyDescent="0.35">
      <c r="A1126"/>
      <c r="B1126" s="17"/>
      <c r="C1126" s="169" t="s">
        <v>854</v>
      </c>
      <c r="D1126" s="25"/>
      <c r="E1126" s="223">
        <v>1</v>
      </c>
      <c r="F1126" s="202"/>
      <c r="G1126" s="202"/>
      <c r="H1126" s="203"/>
      <c r="I1126" s="248"/>
      <c r="J1126" s="266">
        <v>1</v>
      </c>
      <c r="K1126" s="378" t="s">
        <v>855</v>
      </c>
    </row>
    <row r="1127" spans="1:11" ht="20.149999999999999" customHeight="1" x14ac:dyDescent="0.35">
      <c r="A1127"/>
      <c r="B1127" s="17"/>
      <c r="C1127" s="169" t="s">
        <v>856</v>
      </c>
      <c r="D1127" s="25"/>
      <c r="E1127" s="223">
        <v>1</v>
      </c>
      <c r="F1127" s="202"/>
      <c r="G1127" s="202"/>
      <c r="H1127" s="203"/>
      <c r="I1127" s="248"/>
      <c r="J1127" s="266">
        <v>1</v>
      </c>
      <c r="K1127" s="375"/>
    </row>
    <row r="1128" spans="1:11" ht="20.149999999999999" customHeight="1" x14ac:dyDescent="0.35">
      <c r="A1128"/>
      <c r="B1128" s="17"/>
      <c r="C1128" s="105" t="s">
        <v>857</v>
      </c>
      <c r="D1128" s="25"/>
      <c r="E1128" s="223">
        <v>1</v>
      </c>
      <c r="F1128" s="202"/>
      <c r="G1128" s="202"/>
      <c r="H1128" s="203"/>
      <c r="I1128" s="248"/>
      <c r="J1128" s="266">
        <v>1</v>
      </c>
      <c r="K1128" s="375"/>
    </row>
    <row r="1129" spans="1:11" ht="52.5" customHeight="1" x14ac:dyDescent="0.35">
      <c r="A1129"/>
      <c r="B1129" s="17"/>
      <c r="C1129" s="105" t="s">
        <v>858</v>
      </c>
      <c r="D1129" s="25"/>
      <c r="E1129" s="223"/>
      <c r="F1129" s="202">
        <v>1</v>
      </c>
      <c r="G1129" s="202"/>
      <c r="H1129" s="203"/>
      <c r="I1129" s="248"/>
      <c r="J1129" s="266">
        <v>1</v>
      </c>
      <c r="K1129" s="378" t="s">
        <v>859</v>
      </c>
    </row>
    <row r="1130" spans="1:11" ht="20.149999999999999" customHeight="1" x14ac:dyDescent="0.35">
      <c r="A1130"/>
      <c r="B1130" s="17"/>
      <c r="C1130" s="94" t="s">
        <v>860</v>
      </c>
      <c r="D1130" s="25"/>
      <c r="E1130" s="223"/>
      <c r="F1130" s="202">
        <v>1</v>
      </c>
      <c r="G1130" s="202"/>
      <c r="H1130" s="203"/>
      <c r="I1130" s="248"/>
      <c r="J1130" s="266">
        <v>1</v>
      </c>
      <c r="K1130" s="375" t="s">
        <v>861</v>
      </c>
    </row>
    <row r="1131" spans="1:11" ht="20.149999999999999" customHeight="1" x14ac:dyDescent="0.35">
      <c r="A1131"/>
      <c r="B1131" s="17"/>
      <c r="C1131" s="105" t="s">
        <v>862</v>
      </c>
      <c r="D1131" s="25"/>
      <c r="E1131" s="223"/>
      <c r="F1131" s="202">
        <v>1</v>
      </c>
      <c r="G1131" s="202"/>
      <c r="H1131" s="203"/>
      <c r="I1131" s="248"/>
      <c r="J1131" s="266">
        <v>1</v>
      </c>
      <c r="K1131" s="375" t="s">
        <v>861</v>
      </c>
    </row>
    <row r="1132" spans="1:11" ht="20.149999999999999" customHeight="1" x14ac:dyDescent="0.35">
      <c r="A1132"/>
      <c r="B1132" s="17"/>
      <c r="C1132" s="105" t="s">
        <v>863</v>
      </c>
      <c r="D1132" s="25"/>
      <c r="E1132" s="223"/>
      <c r="F1132" s="202">
        <v>1</v>
      </c>
      <c r="G1132" s="202"/>
      <c r="H1132" s="203"/>
      <c r="I1132" s="249"/>
      <c r="J1132" s="266">
        <v>1</v>
      </c>
      <c r="K1132" s="375" t="s">
        <v>861</v>
      </c>
    </row>
    <row r="1133" spans="1:11" ht="20.149999999999999" customHeight="1" x14ac:dyDescent="0.35">
      <c r="A1133"/>
      <c r="B1133" s="17"/>
      <c r="C1133" s="105" t="s">
        <v>864</v>
      </c>
      <c r="D1133" s="25"/>
      <c r="E1133" s="223">
        <v>1</v>
      </c>
      <c r="F1133" s="202"/>
      <c r="G1133" s="202"/>
      <c r="H1133" s="202"/>
      <c r="I1133" s="242"/>
      <c r="J1133" s="266">
        <v>1</v>
      </c>
      <c r="K1133" s="376"/>
    </row>
    <row r="1134" spans="1:11" ht="20.149999999999999" customHeight="1" x14ac:dyDescent="0.35">
      <c r="A1134"/>
      <c r="B1134" s="17"/>
      <c r="C1134" s="105" t="s">
        <v>865</v>
      </c>
      <c r="D1134" s="25"/>
      <c r="E1134" s="223">
        <v>1</v>
      </c>
      <c r="F1134" s="202"/>
      <c r="G1134" s="202"/>
      <c r="H1134" s="202"/>
      <c r="I1134" s="239"/>
      <c r="J1134" s="266">
        <v>1</v>
      </c>
      <c r="K1134" s="376"/>
    </row>
    <row r="1135" spans="1:11" ht="20.149999999999999" customHeight="1" x14ac:dyDescent="0.35">
      <c r="A1135"/>
      <c r="B1135" s="17"/>
      <c r="C1135" s="169" t="s">
        <v>866</v>
      </c>
      <c r="D1135" s="25"/>
      <c r="E1135" s="223"/>
      <c r="F1135" s="202">
        <v>1</v>
      </c>
      <c r="G1135" s="202"/>
      <c r="H1135" s="202"/>
      <c r="I1135" s="239"/>
      <c r="J1135" s="266">
        <v>1</v>
      </c>
      <c r="K1135" s="375"/>
    </row>
    <row r="1136" spans="1:11" ht="20.149999999999999" customHeight="1" x14ac:dyDescent="0.35">
      <c r="A1136"/>
      <c r="B1136" s="17"/>
      <c r="C1136" s="170" t="s">
        <v>867</v>
      </c>
      <c r="D1136" s="25"/>
      <c r="E1136" s="223"/>
      <c r="F1136" s="202">
        <v>1</v>
      </c>
      <c r="G1136" s="202"/>
      <c r="H1136" s="202"/>
      <c r="I1136" s="239"/>
      <c r="J1136" s="266">
        <v>1</v>
      </c>
      <c r="K1136" s="375"/>
    </row>
    <row r="1137" spans="1:11" ht="20.149999999999999" customHeight="1" x14ac:dyDescent="0.35">
      <c r="A1137"/>
      <c r="B1137" s="17"/>
      <c r="C1137" s="169" t="s">
        <v>868</v>
      </c>
      <c r="D1137"/>
      <c r="E1137" s="223">
        <v>1</v>
      </c>
      <c r="F1137" s="202"/>
      <c r="G1137" s="202"/>
      <c r="H1137" s="202"/>
      <c r="I1137" s="239"/>
      <c r="J1137" s="266">
        <v>1</v>
      </c>
      <c r="K1137" s="375"/>
    </row>
    <row r="1138" spans="1:11" ht="20.149999999999999" customHeight="1" x14ac:dyDescent="0.35">
      <c r="A1138"/>
      <c r="B1138" s="17"/>
      <c r="C1138" s="169" t="s">
        <v>869</v>
      </c>
      <c r="D1138"/>
      <c r="E1138" s="223"/>
      <c r="F1138" s="202">
        <v>1</v>
      </c>
      <c r="G1138" s="202"/>
      <c r="H1138" s="202"/>
      <c r="I1138" s="239"/>
      <c r="J1138" s="266">
        <v>1</v>
      </c>
      <c r="K1138" s="375"/>
    </row>
    <row r="1139" spans="1:11" ht="20.149999999999999" customHeight="1" x14ac:dyDescent="0.35">
      <c r="A1139"/>
      <c r="B1139" s="17"/>
      <c r="C1139" s="169" t="s">
        <v>870</v>
      </c>
      <c r="D1139"/>
      <c r="E1139" s="223">
        <v>1</v>
      </c>
      <c r="F1139" s="202"/>
      <c r="G1139" s="202"/>
      <c r="H1139" s="202"/>
      <c r="I1139" s="239"/>
      <c r="J1139" s="266">
        <v>1</v>
      </c>
      <c r="K1139" s="375"/>
    </row>
    <row r="1140" spans="1:11" ht="20.149999999999999" customHeight="1" x14ac:dyDescent="0.35">
      <c r="A1140"/>
      <c r="B1140" s="17"/>
      <c r="C1140" s="105" t="s">
        <v>871</v>
      </c>
      <c r="E1140" s="223">
        <v>1</v>
      </c>
      <c r="F1140" s="202"/>
      <c r="G1140" s="202"/>
      <c r="H1140" s="202"/>
      <c r="I1140" s="239"/>
      <c r="J1140" s="266">
        <v>1</v>
      </c>
      <c r="K1140" s="376"/>
    </row>
    <row r="1141" spans="1:11" ht="20.149999999999999" customHeight="1" x14ac:dyDescent="0.35">
      <c r="A1141"/>
      <c r="B1141" s="17"/>
      <c r="C1141" s="105" t="s">
        <v>872</v>
      </c>
      <c r="E1141" s="223">
        <v>1</v>
      </c>
      <c r="F1141" s="202"/>
      <c r="G1141" s="202"/>
      <c r="H1141" s="202"/>
      <c r="I1141" s="239"/>
      <c r="J1141" s="266">
        <v>1</v>
      </c>
      <c r="K1141" s="376"/>
    </row>
    <row r="1142" spans="1:11" ht="20.149999999999999" customHeight="1" x14ac:dyDescent="0.35">
      <c r="A1142"/>
      <c r="B1142" s="41"/>
      <c r="C1142" s="105" t="s">
        <v>873</v>
      </c>
      <c r="D1142" s="1"/>
      <c r="E1142" s="223">
        <v>1</v>
      </c>
      <c r="F1142" s="202"/>
      <c r="G1142" s="202"/>
      <c r="H1142" s="202"/>
      <c r="I1142" s="239"/>
      <c r="J1142" s="266">
        <v>1</v>
      </c>
      <c r="K1142" s="376"/>
    </row>
    <row r="1143" spans="1:11" ht="20.149999999999999" customHeight="1" x14ac:dyDescent="0.35">
      <c r="A1143"/>
      <c r="B1143" s="41"/>
      <c r="C1143" s="105" t="s">
        <v>874</v>
      </c>
      <c r="D1143" s="1"/>
      <c r="E1143" s="223">
        <v>1</v>
      </c>
      <c r="F1143" s="202"/>
      <c r="G1143" s="202"/>
      <c r="H1143" s="202"/>
      <c r="I1143" s="239"/>
      <c r="J1143" s="266">
        <v>1</v>
      </c>
      <c r="K1143" s="376"/>
    </row>
    <row r="1144" spans="1:11" ht="20.149999999999999" customHeight="1" thickBot="1" x14ac:dyDescent="0.4">
      <c r="A1144" s="64"/>
      <c r="B1144" s="17"/>
      <c r="C1144" s="124"/>
      <c r="D1144" s="24"/>
      <c r="E1144" s="225"/>
      <c r="F1144" s="226"/>
      <c r="G1144" s="226"/>
      <c r="H1144" s="226"/>
      <c r="I1144" s="227"/>
      <c r="J1144" s="227"/>
      <c r="K1144" s="377"/>
    </row>
    <row r="1145" spans="1:11" ht="20.149999999999999" customHeight="1" x14ac:dyDescent="0.35">
      <c r="A1145" s="64"/>
      <c r="B1145" s="17"/>
      <c r="C1145" s="125"/>
      <c r="D1145" s="24"/>
      <c r="E1145" s="211">
        <f t="shared" ref="E1145:J1145" si="27">SUM(E1099:E1144)</f>
        <v>35</v>
      </c>
      <c r="F1145" s="211">
        <f t="shared" si="27"/>
        <v>10</v>
      </c>
      <c r="G1145" s="211">
        <f t="shared" si="27"/>
        <v>0</v>
      </c>
      <c r="H1145" s="211">
        <f t="shared" si="27"/>
        <v>0</v>
      </c>
      <c r="I1145" s="211">
        <f t="shared" si="27"/>
        <v>0</v>
      </c>
      <c r="J1145" s="211">
        <f t="shared" si="27"/>
        <v>45</v>
      </c>
      <c r="K1145" s="330"/>
    </row>
    <row r="1146" spans="1:11" ht="20.149999999999999" customHeight="1" x14ac:dyDescent="0.35">
      <c r="A1146"/>
      <c r="B1146" s="41"/>
      <c r="C1146" s="40"/>
      <c r="D1146" s="1"/>
      <c r="E1146" s="265"/>
      <c r="F1146" s="265"/>
      <c r="G1146" s="265"/>
      <c r="H1146" s="265"/>
      <c r="I1146" s="265"/>
      <c r="J1146" s="265"/>
      <c r="K1146" s="185"/>
    </row>
    <row r="1147" spans="1:11" ht="20.149999999999999" customHeight="1" x14ac:dyDescent="0.35">
      <c r="A1147"/>
      <c r="B1147" s="117">
        <v>1.28</v>
      </c>
      <c r="C1147" s="100" t="s">
        <v>875</v>
      </c>
      <c r="D1147" s="21"/>
      <c r="E1147" s="196"/>
      <c r="F1147" s="196"/>
      <c r="G1147" s="196"/>
      <c r="H1147" s="196"/>
      <c r="I1147" s="196"/>
      <c r="J1147" s="196"/>
      <c r="K1147" s="320"/>
    </row>
    <row r="1148" spans="1:11" ht="20.149999999999999" customHeight="1" thickBot="1" x14ac:dyDescent="0.4">
      <c r="A1148"/>
      <c r="B1148" s="17"/>
      <c r="C1148" s="28"/>
      <c r="D1148" s="24"/>
      <c r="E1148" s="211"/>
      <c r="F1148" s="211"/>
      <c r="G1148" s="211"/>
      <c r="H1148" s="211"/>
      <c r="I1148" s="211"/>
      <c r="J1148" s="211"/>
      <c r="K1148" s="330"/>
    </row>
    <row r="1149" spans="1:11" ht="20.149999999999999" customHeight="1" x14ac:dyDescent="0.35">
      <c r="A1149"/>
      <c r="B1149" s="17"/>
      <c r="C1149" s="68" t="s">
        <v>38</v>
      </c>
      <c r="D1149" s="25"/>
      <c r="E1149" s="224" t="s">
        <v>20</v>
      </c>
      <c r="F1149" s="198" t="s">
        <v>24</v>
      </c>
      <c r="G1149" s="198" t="s">
        <v>27</v>
      </c>
      <c r="H1149" s="198" t="s">
        <v>29</v>
      </c>
      <c r="I1149" s="199" t="s">
        <v>32</v>
      </c>
      <c r="J1149" s="200" t="s">
        <v>35</v>
      </c>
      <c r="K1149" s="374" t="s">
        <v>39</v>
      </c>
    </row>
    <row r="1150" spans="1:11" ht="20.149999999999999" customHeight="1" x14ac:dyDescent="0.35">
      <c r="A1150"/>
      <c r="B1150" s="17"/>
      <c r="C1150" s="105" t="s">
        <v>726</v>
      </c>
      <c r="D1150" s="25"/>
      <c r="E1150" s="223"/>
      <c r="F1150" s="202"/>
      <c r="G1150" s="202"/>
      <c r="H1150" s="202"/>
      <c r="I1150" s="203"/>
      <c r="J1150" s="203"/>
      <c r="K1150" s="376" t="s">
        <v>523</v>
      </c>
    </row>
    <row r="1151" spans="1:11" ht="20.149999999999999" customHeight="1" thickBot="1" x14ac:dyDescent="0.4">
      <c r="A1151" s="64"/>
      <c r="B1151" s="17"/>
      <c r="C1151" s="124"/>
      <c r="D1151" s="24"/>
      <c r="E1151" s="225"/>
      <c r="F1151" s="226"/>
      <c r="G1151" s="226"/>
      <c r="H1151" s="226"/>
      <c r="I1151" s="227"/>
      <c r="J1151" s="227"/>
      <c r="K1151" s="377"/>
    </row>
    <row r="1152" spans="1:11" ht="20.149999999999999" customHeight="1" x14ac:dyDescent="0.35">
      <c r="A1152" s="64"/>
      <c r="B1152" s="17"/>
      <c r="C1152" s="125"/>
      <c r="D1152" s="24"/>
      <c r="E1152" s="211">
        <f t="shared" ref="E1152:J1152" si="28">SUM(E1150:E1151)</f>
        <v>0</v>
      </c>
      <c r="F1152" s="211">
        <f t="shared" si="28"/>
        <v>0</v>
      </c>
      <c r="G1152" s="211">
        <f t="shared" si="28"/>
        <v>0</v>
      </c>
      <c r="H1152" s="211">
        <f t="shared" si="28"/>
        <v>0</v>
      </c>
      <c r="I1152" s="211">
        <f t="shared" si="28"/>
        <v>0</v>
      </c>
      <c r="J1152" s="211">
        <f t="shared" si="28"/>
        <v>0</v>
      </c>
      <c r="K1152" s="330"/>
    </row>
    <row r="1153" spans="1:11" ht="20.149999999999999" customHeight="1" x14ac:dyDescent="0.35">
      <c r="A1153"/>
      <c r="B1153" s="41"/>
      <c r="C1153" s="40"/>
      <c r="D1153" s="1"/>
      <c r="E1153" s="265"/>
      <c r="F1153" s="265"/>
      <c r="G1153" s="265"/>
      <c r="H1153" s="265"/>
      <c r="I1153" s="265"/>
      <c r="J1153" s="265"/>
      <c r="K1153" s="185"/>
    </row>
    <row r="1154" spans="1:11" ht="20.149999999999999" customHeight="1" x14ac:dyDescent="0.35">
      <c r="A1154"/>
      <c r="B1154" s="117">
        <v>1.29</v>
      </c>
      <c r="C1154" s="100" t="s">
        <v>876</v>
      </c>
      <c r="D1154" s="21"/>
      <c r="E1154" s="196"/>
      <c r="F1154" s="196"/>
      <c r="G1154" s="196"/>
      <c r="H1154" s="196"/>
      <c r="I1154" s="196"/>
      <c r="J1154" s="196"/>
      <c r="K1154" s="320"/>
    </row>
    <row r="1155" spans="1:11" ht="20.149999999999999" customHeight="1" thickBot="1" x14ac:dyDescent="0.4">
      <c r="A1155"/>
      <c r="B1155" s="17"/>
      <c r="C1155" s="28"/>
      <c r="D1155" s="24"/>
      <c r="E1155" s="211"/>
      <c r="F1155" s="211"/>
      <c r="G1155" s="211"/>
      <c r="H1155" s="211"/>
      <c r="I1155" s="211"/>
      <c r="J1155" s="211"/>
      <c r="K1155" s="330"/>
    </row>
    <row r="1156" spans="1:11" ht="20.149999999999999" customHeight="1" x14ac:dyDescent="0.35">
      <c r="A1156"/>
      <c r="B1156" s="17"/>
      <c r="C1156" s="68" t="s">
        <v>38</v>
      </c>
      <c r="D1156" s="25"/>
      <c r="E1156" s="224" t="s">
        <v>20</v>
      </c>
      <c r="F1156" s="198" t="s">
        <v>24</v>
      </c>
      <c r="G1156" s="198" t="s">
        <v>27</v>
      </c>
      <c r="H1156" s="198" t="s">
        <v>29</v>
      </c>
      <c r="I1156" s="199" t="s">
        <v>32</v>
      </c>
      <c r="J1156" s="200" t="s">
        <v>35</v>
      </c>
      <c r="K1156" s="374" t="s">
        <v>39</v>
      </c>
    </row>
    <row r="1157" spans="1:11" ht="20.149999999999999" customHeight="1" x14ac:dyDescent="0.35">
      <c r="A1157"/>
      <c r="B1157" s="17"/>
      <c r="C1157" s="105" t="s">
        <v>726</v>
      </c>
      <c r="D1157" s="25"/>
      <c r="E1157" s="223"/>
      <c r="F1157" s="202"/>
      <c r="G1157" s="202"/>
      <c r="H1157" s="202"/>
      <c r="I1157" s="203"/>
      <c r="J1157" s="203"/>
      <c r="K1157" s="376" t="s">
        <v>523</v>
      </c>
    </row>
    <row r="1158" spans="1:11" ht="20.149999999999999" customHeight="1" x14ac:dyDescent="0.35">
      <c r="A1158"/>
      <c r="B1158" s="17"/>
      <c r="C1158" s="168"/>
      <c r="D1158" s="25"/>
      <c r="E1158" s="228"/>
      <c r="F1158" s="213"/>
      <c r="G1158" s="213"/>
      <c r="H1158" s="213"/>
      <c r="I1158" s="214"/>
      <c r="J1158" s="214"/>
      <c r="K1158" s="385"/>
    </row>
    <row r="1159" spans="1:11" ht="20.149999999999999" customHeight="1" thickBot="1" x14ac:dyDescent="0.4">
      <c r="A1159" s="64"/>
      <c r="B1159" s="17"/>
      <c r="C1159" s="124"/>
      <c r="D1159" s="24"/>
      <c r="E1159" s="225"/>
      <c r="F1159" s="226"/>
      <c r="G1159" s="226"/>
      <c r="H1159" s="226"/>
      <c r="I1159" s="227"/>
      <c r="J1159" s="227"/>
      <c r="K1159" s="377"/>
    </row>
    <row r="1160" spans="1:11" ht="20.149999999999999" customHeight="1" x14ac:dyDescent="0.35">
      <c r="A1160" s="64"/>
      <c r="B1160" s="17"/>
      <c r="C1160" s="125"/>
      <c r="D1160" s="24"/>
      <c r="E1160" s="211">
        <f t="shared" ref="E1160:J1160" si="29">SUM(E1151:E1159)</f>
        <v>0</v>
      </c>
      <c r="F1160" s="211">
        <f t="shared" si="29"/>
        <v>0</v>
      </c>
      <c r="G1160" s="211">
        <f t="shared" si="29"/>
        <v>0</v>
      </c>
      <c r="H1160" s="211">
        <f t="shared" si="29"/>
        <v>0</v>
      </c>
      <c r="I1160" s="211">
        <f t="shared" si="29"/>
        <v>0</v>
      </c>
      <c r="J1160" s="211">
        <f t="shared" si="29"/>
        <v>0</v>
      </c>
      <c r="K1160" s="330"/>
    </row>
    <row r="1161" spans="1:11" ht="20.149999999999999" customHeight="1" x14ac:dyDescent="0.35">
      <c r="A1161"/>
      <c r="B1161" s="41"/>
      <c r="C1161" s="40"/>
      <c r="D1161" s="1"/>
      <c r="E1161" s="265"/>
      <c r="F1161" s="265"/>
      <c r="G1161" s="265"/>
      <c r="H1161" s="265"/>
      <c r="I1161" s="265"/>
      <c r="J1161" s="265"/>
      <c r="K1161" s="185"/>
    </row>
    <row r="1162" spans="1:11" ht="20.149999999999999" customHeight="1" x14ac:dyDescent="0.35">
      <c r="A1162"/>
      <c r="B1162" s="136">
        <v>1.3</v>
      </c>
      <c r="C1162" s="100" t="s">
        <v>877</v>
      </c>
      <c r="D1162" s="21"/>
      <c r="E1162" s="196"/>
      <c r="F1162" s="196"/>
      <c r="G1162" s="196"/>
      <c r="H1162" s="196"/>
      <c r="I1162" s="196"/>
      <c r="J1162" s="196"/>
      <c r="K1162" s="320"/>
    </row>
    <row r="1163" spans="1:11" ht="20.149999999999999" customHeight="1" thickBot="1" x14ac:dyDescent="0.4">
      <c r="A1163"/>
      <c r="B1163" s="17"/>
      <c r="C1163" s="28"/>
      <c r="D1163" s="24"/>
      <c r="E1163" s="211"/>
      <c r="F1163" s="211"/>
      <c r="G1163" s="211"/>
      <c r="H1163" s="211"/>
      <c r="I1163" s="211"/>
      <c r="J1163" s="211"/>
      <c r="K1163" s="330"/>
    </row>
    <row r="1164" spans="1:11" ht="20.149999999999999" customHeight="1" x14ac:dyDescent="0.35">
      <c r="A1164"/>
      <c r="B1164" s="17"/>
      <c r="C1164" s="68" t="s">
        <v>38</v>
      </c>
      <c r="D1164" s="25"/>
      <c r="E1164" s="224" t="s">
        <v>20</v>
      </c>
      <c r="F1164" s="198" t="s">
        <v>24</v>
      </c>
      <c r="G1164" s="198" t="s">
        <v>27</v>
      </c>
      <c r="H1164" s="198" t="s">
        <v>29</v>
      </c>
      <c r="I1164" s="199" t="s">
        <v>32</v>
      </c>
      <c r="J1164" s="200" t="s">
        <v>35</v>
      </c>
      <c r="K1164" s="374" t="s">
        <v>39</v>
      </c>
    </row>
    <row r="1165" spans="1:11" ht="20.149999999999999" customHeight="1" x14ac:dyDescent="0.35">
      <c r="A1165"/>
      <c r="B1165" s="17"/>
      <c r="C1165" s="105" t="s">
        <v>312</v>
      </c>
      <c r="D1165" s="25"/>
      <c r="E1165" s="223">
        <v>1</v>
      </c>
      <c r="F1165" s="202"/>
      <c r="G1165" s="202"/>
      <c r="H1165" s="202"/>
      <c r="I1165" s="239"/>
      <c r="J1165" s="266">
        <v>1</v>
      </c>
      <c r="K1165" s="376"/>
    </row>
    <row r="1166" spans="1:11" ht="20.149999999999999" customHeight="1" x14ac:dyDescent="0.35">
      <c r="A1166"/>
      <c r="B1166" s="17"/>
      <c r="C1166" s="171" t="s">
        <v>878</v>
      </c>
      <c r="D1166" s="25"/>
      <c r="E1166" s="228">
        <v>1</v>
      </c>
      <c r="F1166" s="213"/>
      <c r="G1166" s="213"/>
      <c r="H1166" s="213"/>
      <c r="I1166" s="251"/>
      <c r="J1166" s="266">
        <v>1</v>
      </c>
      <c r="K1166" s="385"/>
    </row>
    <row r="1167" spans="1:11" ht="20.149999999999999" customHeight="1" x14ac:dyDescent="0.35">
      <c r="A1167"/>
      <c r="B1167" s="17"/>
      <c r="C1167" s="169" t="s">
        <v>879</v>
      </c>
      <c r="D1167" s="25"/>
      <c r="E1167" s="223">
        <v>1</v>
      </c>
      <c r="F1167" s="202"/>
      <c r="G1167" s="202"/>
      <c r="H1167" s="202"/>
      <c r="I1167" s="239"/>
      <c r="J1167" s="266">
        <v>1</v>
      </c>
      <c r="K1167" s="376"/>
    </row>
    <row r="1168" spans="1:11" ht="20.149999999999999" customHeight="1" x14ac:dyDescent="0.35">
      <c r="A1168"/>
      <c r="B1168" s="17"/>
      <c r="C1168" s="169" t="s">
        <v>880</v>
      </c>
      <c r="D1168" s="25"/>
      <c r="E1168" s="223">
        <v>1</v>
      </c>
      <c r="F1168" s="202"/>
      <c r="G1168" s="202"/>
      <c r="H1168" s="202"/>
      <c r="I1168" s="239"/>
      <c r="J1168" s="266">
        <v>1</v>
      </c>
      <c r="K1168" s="376"/>
    </row>
    <row r="1169" spans="1:11" ht="20.149999999999999" customHeight="1" x14ac:dyDescent="0.35">
      <c r="A1169"/>
      <c r="B1169" s="17"/>
      <c r="C1169" s="169" t="s">
        <v>881</v>
      </c>
      <c r="D1169" s="25"/>
      <c r="E1169" s="223">
        <v>1</v>
      </c>
      <c r="F1169" s="202"/>
      <c r="G1169" s="202"/>
      <c r="H1169" s="202"/>
      <c r="I1169" s="239"/>
      <c r="J1169" s="266">
        <v>1</v>
      </c>
      <c r="K1169" s="381"/>
    </row>
    <row r="1170" spans="1:11" ht="20.149999999999999" customHeight="1" x14ac:dyDescent="0.35">
      <c r="A1170"/>
      <c r="B1170" s="17"/>
      <c r="C1170" s="169" t="s">
        <v>882</v>
      </c>
      <c r="D1170" s="25"/>
      <c r="E1170" s="223">
        <v>1</v>
      </c>
      <c r="F1170" s="202"/>
      <c r="G1170" s="202"/>
      <c r="H1170" s="202"/>
      <c r="I1170" s="239"/>
      <c r="J1170" s="266">
        <v>1</v>
      </c>
      <c r="K1170" s="386"/>
    </row>
    <row r="1171" spans="1:11" ht="20.149999999999999" customHeight="1" x14ac:dyDescent="0.35">
      <c r="A1171"/>
      <c r="B1171" s="17"/>
      <c r="C1171" s="169" t="s">
        <v>883</v>
      </c>
      <c r="D1171" s="25"/>
      <c r="E1171" s="223">
        <v>1</v>
      </c>
      <c r="F1171" s="202"/>
      <c r="G1171" s="202"/>
      <c r="H1171" s="202"/>
      <c r="I1171" s="239"/>
      <c r="J1171" s="266">
        <v>1</v>
      </c>
      <c r="K1171" s="381"/>
    </row>
    <row r="1172" spans="1:11" ht="20.149999999999999" customHeight="1" x14ac:dyDescent="0.35">
      <c r="A1172"/>
      <c r="B1172" s="17"/>
      <c r="C1172" s="105" t="s">
        <v>884</v>
      </c>
      <c r="D1172" s="25"/>
      <c r="E1172" s="223">
        <v>1</v>
      </c>
      <c r="F1172" s="202"/>
      <c r="G1172" s="202"/>
      <c r="H1172" s="202"/>
      <c r="I1172" s="239"/>
      <c r="J1172" s="266">
        <v>1</v>
      </c>
      <c r="K1172" s="376"/>
    </row>
    <row r="1173" spans="1:11" ht="32.15" customHeight="1" x14ac:dyDescent="0.35">
      <c r="A1173"/>
      <c r="B1173" s="17"/>
      <c r="C1173" s="106" t="s">
        <v>885</v>
      </c>
      <c r="D1173" s="25"/>
      <c r="E1173" s="223">
        <v>1</v>
      </c>
      <c r="F1173" s="202"/>
      <c r="G1173" s="202"/>
      <c r="H1173" s="202"/>
      <c r="I1173" s="239"/>
      <c r="J1173" s="266">
        <v>1</v>
      </c>
      <c r="K1173" s="381"/>
    </row>
    <row r="1174" spans="1:11" ht="20.149999999999999" customHeight="1" x14ac:dyDescent="0.35">
      <c r="A1174"/>
      <c r="B1174" s="17"/>
      <c r="C1174" s="105" t="s">
        <v>886</v>
      </c>
      <c r="D1174" s="25"/>
      <c r="E1174" s="223">
        <v>1</v>
      </c>
      <c r="F1174" s="202"/>
      <c r="G1174" s="202"/>
      <c r="H1174" s="202"/>
      <c r="I1174" s="239"/>
      <c r="J1174" s="266">
        <v>1</v>
      </c>
      <c r="K1174" s="351"/>
    </row>
    <row r="1175" spans="1:11" ht="20.149999999999999" customHeight="1" x14ac:dyDescent="0.35">
      <c r="A1175"/>
      <c r="B1175" s="17"/>
      <c r="C1175" s="105" t="s">
        <v>887</v>
      </c>
      <c r="D1175" s="25"/>
      <c r="E1175" s="223">
        <v>1</v>
      </c>
      <c r="F1175" s="202"/>
      <c r="G1175" s="202"/>
      <c r="H1175" s="202"/>
      <c r="I1175" s="239"/>
      <c r="J1175" s="266">
        <v>1</v>
      </c>
      <c r="K1175" s="375" t="s">
        <v>888</v>
      </c>
    </row>
    <row r="1176" spans="1:11" ht="20.149999999999999" customHeight="1" x14ac:dyDescent="0.35">
      <c r="A1176"/>
      <c r="B1176" s="17"/>
      <c r="C1176" s="105" t="s">
        <v>889</v>
      </c>
      <c r="D1176" s="25"/>
      <c r="E1176" s="223">
        <v>1</v>
      </c>
      <c r="F1176" s="202"/>
      <c r="G1176" s="202"/>
      <c r="H1176" s="202"/>
      <c r="I1176" s="239"/>
      <c r="J1176" s="266">
        <v>1</v>
      </c>
      <c r="K1176" s="376"/>
    </row>
    <row r="1177" spans="1:11" ht="20.149999999999999" customHeight="1" x14ac:dyDescent="0.35">
      <c r="A1177"/>
      <c r="B1177" s="17"/>
      <c r="C1177" s="105" t="s">
        <v>890</v>
      </c>
      <c r="D1177" s="25"/>
      <c r="E1177" s="223">
        <v>1</v>
      </c>
      <c r="F1177" s="202"/>
      <c r="G1177" s="202"/>
      <c r="H1177" s="202"/>
      <c r="I1177" s="251"/>
      <c r="J1177" s="276">
        <v>1</v>
      </c>
      <c r="K1177" s="376"/>
    </row>
    <row r="1178" spans="1:11" ht="20.149999999999999" customHeight="1" x14ac:dyDescent="0.35">
      <c r="A1178"/>
      <c r="B1178" s="17"/>
      <c r="C1178" s="105" t="s">
        <v>891</v>
      </c>
      <c r="D1178" s="25"/>
      <c r="E1178" s="223">
        <v>1</v>
      </c>
      <c r="F1178" s="202"/>
      <c r="G1178" s="202"/>
      <c r="H1178" s="203"/>
      <c r="I1178" s="247"/>
      <c r="J1178" s="317">
        <v>1</v>
      </c>
      <c r="K1178" s="372"/>
    </row>
    <row r="1179" spans="1:11" ht="20.149999999999999" customHeight="1" x14ac:dyDescent="0.35">
      <c r="A1179"/>
      <c r="B1179" s="17"/>
      <c r="C1179" s="105" t="s">
        <v>892</v>
      </c>
      <c r="D1179" s="25"/>
      <c r="E1179" s="223">
        <v>1</v>
      </c>
      <c r="F1179" s="202"/>
      <c r="G1179" s="202"/>
      <c r="H1179" s="203"/>
      <c r="I1179" s="248"/>
      <c r="J1179" s="318">
        <v>1</v>
      </c>
      <c r="K1179" s="372"/>
    </row>
    <row r="1180" spans="1:11" ht="20.149999999999999" customHeight="1" x14ac:dyDescent="0.35">
      <c r="A1180"/>
      <c r="B1180" s="17"/>
      <c r="C1180" s="105" t="s">
        <v>893</v>
      </c>
      <c r="D1180" s="25"/>
      <c r="E1180" s="223"/>
      <c r="F1180" s="202">
        <v>1</v>
      </c>
      <c r="G1180" s="202"/>
      <c r="H1180" s="203"/>
      <c r="I1180" s="248"/>
      <c r="J1180" s="318">
        <v>1</v>
      </c>
      <c r="K1180" s="372"/>
    </row>
    <row r="1181" spans="1:11" ht="20.149999999999999" customHeight="1" x14ac:dyDescent="0.35">
      <c r="A1181"/>
      <c r="B1181" s="17"/>
      <c r="C1181" s="105" t="s">
        <v>894</v>
      </c>
      <c r="D1181" s="25"/>
      <c r="E1181" s="223">
        <v>1</v>
      </c>
      <c r="F1181" s="202"/>
      <c r="G1181" s="202"/>
      <c r="H1181" s="203"/>
      <c r="I1181" s="248"/>
      <c r="J1181" s="318">
        <v>1</v>
      </c>
      <c r="K1181" s="372"/>
    </row>
    <row r="1182" spans="1:11" ht="20.149999999999999" customHeight="1" x14ac:dyDescent="0.35">
      <c r="A1182"/>
      <c r="B1182" s="17"/>
      <c r="C1182" s="108" t="s">
        <v>895</v>
      </c>
      <c r="D1182" s="25"/>
      <c r="E1182" s="223">
        <v>1</v>
      </c>
      <c r="F1182" s="202"/>
      <c r="G1182" s="202"/>
      <c r="H1182" s="203"/>
      <c r="I1182" s="248"/>
      <c r="J1182" s="318">
        <v>1</v>
      </c>
      <c r="K1182" s="372"/>
    </row>
    <row r="1183" spans="1:11" ht="20.149999999999999" customHeight="1" x14ac:dyDescent="0.35">
      <c r="A1183"/>
      <c r="B1183" s="17"/>
      <c r="C1183" s="108" t="s">
        <v>896</v>
      </c>
      <c r="D1183" s="25"/>
      <c r="E1183" s="223"/>
      <c r="F1183" s="202">
        <v>1</v>
      </c>
      <c r="G1183" s="202"/>
      <c r="H1183" s="203"/>
      <c r="I1183" s="248"/>
      <c r="J1183" s="318">
        <v>1</v>
      </c>
      <c r="K1183" s="383"/>
    </row>
    <row r="1184" spans="1:11" ht="20.149999999999999" customHeight="1" x14ac:dyDescent="0.35">
      <c r="A1184"/>
      <c r="B1184" s="17"/>
      <c r="C1184" s="105" t="s">
        <v>897</v>
      </c>
      <c r="D1184" s="25"/>
      <c r="E1184" s="223">
        <v>1</v>
      </c>
      <c r="F1184" s="202"/>
      <c r="G1184" s="202"/>
      <c r="H1184" s="203"/>
      <c r="I1184" s="248"/>
      <c r="J1184" s="318">
        <v>1</v>
      </c>
      <c r="K1184" s="372"/>
    </row>
    <row r="1185" spans="1:12" ht="20.149999999999999" customHeight="1" x14ac:dyDescent="0.35">
      <c r="A1185"/>
      <c r="B1185" s="17"/>
      <c r="C1185" s="105" t="s">
        <v>898</v>
      </c>
      <c r="D1185" s="25"/>
      <c r="E1185" s="223">
        <v>1</v>
      </c>
      <c r="F1185" s="202"/>
      <c r="G1185" s="202"/>
      <c r="H1185" s="203"/>
      <c r="I1185" s="248"/>
      <c r="J1185" s="318">
        <v>1</v>
      </c>
      <c r="K1185" s="372"/>
    </row>
    <row r="1186" spans="1:12" ht="20.149999999999999" customHeight="1" x14ac:dyDescent="0.35">
      <c r="A1186"/>
      <c r="B1186" s="17"/>
      <c r="C1186" s="105" t="s">
        <v>899</v>
      </c>
      <c r="D1186" s="25"/>
      <c r="E1186" s="223">
        <v>1</v>
      </c>
      <c r="F1186" s="202"/>
      <c r="G1186" s="202"/>
      <c r="H1186" s="203"/>
      <c r="I1186" s="249"/>
      <c r="J1186" s="304">
        <v>1</v>
      </c>
      <c r="K1186" s="372"/>
    </row>
    <row r="1187" spans="1:12" ht="20.149999999999999" customHeight="1" thickBot="1" x14ac:dyDescent="0.4">
      <c r="A1187"/>
      <c r="B1187" s="17"/>
      <c r="C1187" s="105" t="s">
        <v>900</v>
      </c>
      <c r="D1187" s="25"/>
      <c r="E1187" s="223">
        <v>1</v>
      </c>
      <c r="F1187" s="202"/>
      <c r="G1187" s="202"/>
      <c r="H1187" s="202"/>
      <c r="I1187" s="250"/>
      <c r="J1187" s="305">
        <v>1</v>
      </c>
      <c r="K1187" s="387"/>
    </row>
    <row r="1188" spans="1:12" ht="118.5" customHeight="1" x14ac:dyDescent="0.35">
      <c r="A1188"/>
      <c r="B1188" s="17"/>
      <c r="C1188" s="105" t="s">
        <v>901</v>
      </c>
      <c r="D1188" s="25"/>
      <c r="E1188" s="223">
        <v>1</v>
      </c>
      <c r="F1188" s="202"/>
      <c r="G1188" s="202"/>
      <c r="H1188" s="202"/>
      <c r="I1188" s="239"/>
      <c r="J1188" s="289">
        <v>1</v>
      </c>
      <c r="K1188" s="388" t="s">
        <v>902</v>
      </c>
      <c r="L1188" s="263"/>
    </row>
    <row r="1189" spans="1:12" ht="20.149999999999999" customHeight="1" x14ac:dyDescent="0.35">
      <c r="A1189"/>
      <c r="B1189" s="17"/>
      <c r="C1189" s="105" t="s">
        <v>903</v>
      </c>
      <c r="D1189" s="25"/>
      <c r="E1189" s="223"/>
      <c r="F1189" s="202">
        <v>1</v>
      </c>
      <c r="G1189" s="202"/>
      <c r="H1189" s="202"/>
      <c r="I1189" s="239"/>
      <c r="J1189" s="289">
        <v>1</v>
      </c>
      <c r="K1189" s="389"/>
    </row>
    <row r="1190" spans="1:12" ht="20.149999999999999" customHeight="1" thickBot="1" x14ac:dyDescent="0.4">
      <c r="A1190" s="64"/>
      <c r="B1190" s="17"/>
      <c r="C1190" s="124"/>
      <c r="D1190" s="24"/>
      <c r="E1190" s="225"/>
      <c r="F1190" s="226"/>
      <c r="G1190" s="226"/>
      <c r="H1190" s="226"/>
      <c r="I1190" s="227"/>
      <c r="J1190" s="227"/>
      <c r="K1190" s="390"/>
    </row>
    <row r="1191" spans="1:12" ht="20.149999999999999" customHeight="1" x14ac:dyDescent="0.35">
      <c r="A1191" s="64"/>
      <c r="B1191" s="17"/>
      <c r="C1191" s="125"/>
      <c r="D1191" s="24"/>
      <c r="E1191" s="211">
        <f t="shared" ref="E1191:J1191" si="30">SUM(E1157:E1190)</f>
        <v>22</v>
      </c>
      <c r="F1191" s="211">
        <f t="shared" si="30"/>
        <v>3</v>
      </c>
      <c r="G1191" s="211">
        <f t="shared" si="30"/>
        <v>0</v>
      </c>
      <c r="H1191" s="211">
        <f t="shared" si="30"/>
        <v>0</v>
      </c>
      <c r="I1191" s="211">
        <f t="shared" si="30"/>
        <v>0</v>
      </c>
      <c r="J1191" s="211">
        <f t="shared" si="30"/>
        <v>25</v>
      </c>
      <c r="K1191" s="26"/>
    </row>
    <row r="1192" spans="1:12" ht="20.149999999999999" customHeight="1" x14ac:dyDescent="0.35">
      <c r="A1192" s="64"/>
      <c r="B1192" s="17"/>
      <c r="C1192" s="125"/>
      <c r="D1192" s="24"/>
      <c r="E1192" s="14"/>
      <c r="F1192" s="14"/>
      <c r="G1192" s="14"/>
      <c r="H1192" s="14"/>
      <c r="I1192" s="14"/>
      <c r="J1192" s="14"/>
      <c r="K1192" s="26"/>
    </row>
    <row r="1193" spans="1:12" ht="20.149999999999999" customHeight="1" x14ac:dyDescent="0.35">
      <c r="A1193" s="64"/>
      <c r="B1193" s="17"/>
      <c r="C1193" s="125"/>
      <c r="D1193" s="24"/>
      <c r="E1193" s="14"/>
      <c r="F1193" s="14"/>
      <c r="G1193" s="14"/>
      <c r="H1193" s="14"/>
      <c r="I1193" s="14"/>
      <c r="J1193" s="14"/>
      <c r="K1193" s="26"/>
    </row>
    <row r="1194" spans="1:12" ht="20.149999999999999" customHeight="1" x14ac:dyDescent="0.35">
      <c r="A1194" s="1"/>
      <c r="B1194" s="17"/>
      <c r="C1194" s="125"/>
      <c r="D1194" s="24"/>
      <c r="E1194" s="14"/>
      <c r="F1194" s="14"/>
      <c r="G1194" s="14"/>
      <c r="H1194" s="14"/>
      <c r="I1194" s="14"/>
      <c r="J1194" s="14"/>
      <c r="K1194" s="26"/>
    </row>
    <row r="1195" spans="1:12" ht="20.149999999999999" customHeight="1" x14ac:dyDescent="0.35">
      <c r="A1195" s="1"/>
      <c r="B1195" s="17"/>
      <c r="C1195" s="125"/>
      <c r="D1195" s="24"/>
      <c r="E1195" s="14"/>
      <c r="F1195" s="14"/>
      <c r="G1195" s="14"/>
      <c r="H1195" s="14"/>
      <c r="I1195" s="14"/>
      <c r="J1195" s="14"/>
      <c r="K1195" s="26"/>
    </row>
    <row r="1196" spans="1:12" ht="20.149999999999999" customHeight="1" x14ac:dyDescent="0.35">
      <c r="A1196" s="1"/>
      <c r="B1196" s="17"/>
      <c r="C1196" s="125"/>
      <c r="D1196" s="24"/>
      <c r="E1196" s="14"/>
      <c r="F1196" s="14"/>
      <c r="G1196" s="14"/>
      <c r="H1196" s="14"/>
      <c r="I1196" s="14"/>
      <c r="J1196" s="14"/>
      <c r="K1196" s="26"/>
    </row>
    <row r="1197" spans="1:12" ht="20.149999999999999" customHeight="1" x14ac:dyDescent="0.35">
      <c r="A1197" s="1"/>
      <c r="B1197" s="17"/>
      <c r="C1197" s="125"/>
      <c r="D1197" s="24"/>
      <c r="E1197" s="14"/>
      <c r="F1197" s="14"/>
      <c r="G1197" s="14"/>
      <c r="H1197" s="14"/>
      <c r="I1197" s="14"/>
      <c r="J1197" s="14"/>
      <c r="K1197" s="26"/>
    </row>
    <row r="1198" spans="1:12" ht="20.149999999999999" customHeight="1" x14ac:dyDescent="0.35">
      <c r="A1198" s="1"/>
      <c r="B1198" s="17"/>
      <c r="C1198" s="125"/>
      <c r="D1198" s="24"/>
      <c r="E1198" s="14"/>
      <c r="F1198" s="14"/>
      <c r="G1198" s="14"/>
      <c r="H1198" s="14"/>
      <c r="I1198" s="14"/>
      <c r="J1198" s="14"/>
      <c r="K1198" s="26"/>
    </row>
    <row r="1199" spans="1:12" ht="20.149999999999999" customHeight="1" x14ac:dyDescent="0.35">
      <c r="A1199" s="1"/>
      <c r="B1199" s="17"/>
      <c r="C1199" s="125"/>
      <c r="D1199" s="24"/>
      <c r="E1199" s="14"/>
      <c r="F1199" s="14"/>
      <c r="G1199" s="14"/>
      <c r="H1199" s="14"/>
      <c r="I1199" s="14"/>
      <c r="J1199" s="14"/>
      <c r="K1199" s="26"/>
    </row>
    <row r="1200" spans="1:12" ht="20.149999999999999" customHeight="1" x14ac:dyDescent="0.35">
      <c r="A1200" s="1"/>
      <c r="B1200" s="17"/>
      <c r="C1200" s="125"/>
      <c r="D1200" s="24"/>
      <c r="E1200" s="14"/>
      <c r="F1200" s="14"/>
      <c r="G1200" s="14"/>
      <c r="H1200" s="14"/>
      <c r="I1200" s="14"/>
      <c r="J1200" s="14"/>
      <c r="K1200" s="26"/>
    </row>
    <row r="1201" spans="1:11" ht="20.149999999999999" customHeight="1" x14ac:dyDescent="0.35">
      <c r="A1201" s="1"/>
      <c r="B1201" s="17"/>
      <c r="C1201" s="125"/>
      <c r="D1201" s="24"/>
      <c r="E1201" s="14"/>
      <c r="F1201" s="14"/>
      <c r="G1201" s="14"/>
      <c r="H1201" s="14"/>
      <c r="I1201" s="14"/>
      <c r="J1201" s="14"/>
      <c r="K1201" s="26"/>
    </row>
    <row r="1202" spans="1:11" ht="20.149999999999999" customHeight="1" x14ac:dyDescent="0.35">
      <c r="A1202" s="1"/>
      <c r="B1202" s="17"/>
      <c r="C1202" s="125"/>
      <c r="D1202" s="24"/>
      <c r="E1202" s="14"/>
      <c r="F1202" s="14"/>
      <c r="G1202" s="14"/>
      <c r="H1202" s="14"/>
      <c r="I1202" s="14"/>
      <c r="J1202" s="14"/>
      <c r="K1202" s="26"/>
    </row>
    <row r="1203" spans="1:11" ht="20.149999999999999" customHeight="1" x14ac:dyDescent="0.35">
      <c r="A1203" s="1"/>
      <c r="B1203" s="17"/>
      <c r="C1203" s="125"/>
      <c r="D1203" s="24"/>
      <c r="E1203" s="14"/>
      <c r="F1203" s="14"/>
      <c r="G1203" s="14"/>
      <c r="H1203" s="14"/>
      <c r="I1203" s="14"/>
      <c r="J1203" s="14"/>
      <c r="K1203" s="26"/>
    </row>
    <row r="1204" spans="1:11" ht="20.149999999999999" customHeight="1" x14ac:dyDescent="0.35">
      <c r="A1204" s="1"/>
      <c r="B1204" s="17"/>
      <c r="C1204" s="125"/>
      <c r="D1204" s="24"/>
      <c r="E1204" s="14"/>
      <c r="F1204" s="14"/>
      <c r="G1204" s="14"/>
      <c r="H1204" s="14"/>
      <c r="I1204" s="14"/>
      <c r="J1204" s="14"/>
      <c r="K1204" s="26"/>
    </row>
    <row r="1205" spans="1:11" ht="20.149999999999999" customHeight="1" x14ac:dyDescent="0.35">
      <c r="A1205" s="1"/>
      <c r="B1205" s="17"/>
      <c r="C1205" s="125"/>
      <c r="D1205" s="24"/>
      <c r="E1205" s="14"/>
      <c r="F1205" s="14"/>
      <c r="G1205" s="14"/>
      <c r="H1205" s="14"/>
      <c r="I1205" s="14"/>
      <c r="J1205" s="14"/>
      <c r="K1205" s="26"/>
    </row>
    <row r="1206" spans="1:11" ht="20.149999999999999" customHeight="1" x14ac:dyDescent="0.35">
      <c r="A1206" s="1"/>
      <c r="B1206" s="17"/>
      <c r="C1206" s="125"/>
      <c r="D1206" s="24"/>
      <c r="E1206" s="14"/>
      <c r="F1206" s="14"/>
      <c r="G1206" s="14"/>
      <c r="H1206" s="14"/>
      <c r="I1206" s="14"/>
      <c r="J1206" s="14"/>
      <c r="K1206" s="26"/>
    </row>
    <row r="1207" spans="1:11" ht="20.149999999999999" customHeight="1" x14ac:dyDescent="0.35">
      <c r="A1207" s="1"/>
      <c r="B1207" s="17"/>
      <c r="C1207" s="125"/>
      <c r="D1207" s="24"/>
      <c r="E1207" s="14"/>
      <c r="F1207" s="14"/>
      <c r="G1207" s="14"/>
      <c r="H1207" s="14"/>
      <c r="I1207" s="14"/>
      <c r="J1207" s="14"/>
      <c r="K1207" s="26"/>
    </row>
    <row r="1208" spans="1:11" ht="20.149999999999999" customHeight="1" x14ac:dyDescent="0.35">
      <c r="A1208" s="1"/>
      <c r="B1208" s="17"/>
      <c r="C1208" s="125"/>
      <c r="D1208" s="24"/>
      <c r="E1208" s="14"/>
      <c r="F1208" s="14"/>
      <c r="G1208" s="14"/>
      <c r="H1208" s="14"/>
      <c r="I1208" s="14"/>
      <c r="J1208" s="14"/>
      <c r="K1208" s="26"/>
    </row>
    <row r="1209" spans="1:11" ht="20.149999999999999" customHeight="1" x14ac:dyDescent="0.35">
      <c r="A1209" s="1"/>
      <c r="B1209" s="17"/>
      <c r="C1209" s="125"/>
      <c r="D1209" s="24"/>
      <c r="E1209" s="14"/>
      <c r="F1209" s="14"/>
      <c r="G1209" s="14"/>
      <c r="H1209" s="14"/>
      <c r="I1209" s="14"/>
      <c r="J1209" s="14"/>
      <c r="K1209" s="26"/>
    </row>
    <row r="1210" spans="1:11" ht="20.149999999999999" customHeight="1" x14ac:dyDescent="0.35">
      <c r="A1210" s="1"/>
      <c r="B1210" s="17"/>
      <c r="C1210" s="125"/>
      <c r="D1210" s="24"/>
      <c r="E1210" s="14"/>
      <c r="F1210" s="14"/>
      <c r="G1210" s="14"/>
      <c r="H1210" s="14"/>
      <c r="I1210" s="14"/>
      <c r="J1210" s="14"/>
      <c r="K1210" s="26"/>
    </row>
    <row r="1211" spans="1:11" ht="20.149999999999999" customHeight="1" x14ac:dyDescent="0.35">
      <c r="A1211" s="1"/>
      <c r="B1211" s="17"/>
      <c r="C1211" s="125"/>
      <c r="D1211" s="24"/>
      <c r="E1211" s="14"/>
      <c r="F1211" s="14"/>
      <c r="G1211" s="14"/>
      <c r="H1211" s="14"/>
      <c r="I1211" s="14"/>
      <c r="J1211" s="14"/>
      <c r="K1211" s="26"/>
    </row>
    <row r="1212" spans="1:11" ht="20.149999999999999" customHeight="1" x14ac:dyDescent="0.35">
      <c r="A1212" s="1"/>
      <c r="B1212" s="17"/>
      <c r="C1212" s="125"/>
      <c r="D1212" s="24"/>
      <c r="E1212" s="14"/>
      <c r="F1212" s="14"/>
      <c r="G1212" s="14"/>
      <c r="H1212" s="14"/>
      <c r="I1212" s="14"/>
      <c r="J1212" s="14"/>
      <c r="K1212" s="26"/>
    </row>
    <row r="1213" spans="1:11" ht="20.149999999999999" customHeight="1" x14ac:dyDescent="0.35">
      <c r="A1213" s="1"/>
      <c r="B1213" s="17"/>
      <c r="C1213" s="125"/>
      <c r="D1213" s="24"/>
      <c r="E1213" s="14"/>
      <c r="F1213" s="14"/>
      <c r="G1213" s="14"/>
      <c r="H1213" s="14"/>
      <c r="I1213" s="14"/>
      <c r="J1213" s="14"/>
      <c r="K1213" s="26"/>
    </row>
    <row r="1214" spans="1:11" ht="20.149999999999999" customHeight="1" x14ac:dyDescent="0.35">
      <c r="A1214" s="1"/>
      <c r="B1214" s="17"/>
      <c r="C1214" s="125"/>
      <c r="D1214" s="24"/>
      <c r="E1214" s="14"/>
      <c r="F1214" s="14"/>
      <c r="G1214" s="14"/>
      <c r="H1214" s="14"/>
      <c r="I1214" s="14"/>
      <c r="J1214" s="14"/>
      <c r="K1214" s="26"/>
    </row>
    <row r="1215" spans="1:11" ht="20.149999999999999" customHeight="1" x14ac:dyDescent="0.35">
      <c r="A1215" s="1"/>
      <c r="B1215" s="17"/>
      <c r="C1215" s="125"/>
      <c r="D1215" s="24"/>
      <c r="E1215" s="14"/>
      <c r="F1215" s="14"/>
      <c r="G1215" s="14"/>
      <c r="H1215" s="14"/>
      <c r="I1215" s="14"/>
      <c r="J1215" s="14"/>
      <c r="K1215" s="26"/>
    </row>
    <row r="1216" spans="1:11" ht="20.149999999999999" customHeight="1" x14ac:dyDescent="0.35">
      <c r="A1216" s="1"/>
      <c r="B1216" s="17"/>
      <c r="C1216" s="125"/>
      <c r="D1216" s="24"/>
      <c r="E1216" s="14"/>
      <c r="F1216" s="14"/>
      <c r="G1216" s="14"/>
      <c r="H1216" s="14"/>
      <c r="I1216" s="14"/>
      <c r="J1216" s="14"/>
      <c r="K1216" s="26"/>
    </row>
    <row r="1217" spans="1:11" ht="20.149999999999999" customHeight="1" x14ac:dyDescent="0.35">
      <c r="A1217" s="1"/>
      <c r="B1217" s="17"/>
      <c r="C1217" s="125"/>
      <c r="D1217" s="24"/>
      <c r="E1217" s="14"/>
      <c r="F1217" s="14"/>
      <c r="G1217" s="14"/>
      <c r="H1217" s="14"/>
      <c r="I1217" s="14"/>
      <c r="J1217" s="14"/>
      <c r="K1217" s="26"/>
    </row>
    <row r="1218" spans="1:11" ht="20.149999999999999" customHeight="1" x14ac:dyDescent="0.35">
      <c r="A1218" s="1"/>
      <c r="B1218" s="17"/>
      <c r="C1218" s="125"/>
      <c r="D1218" s="24"/>
      <c r="E1218" s="14"/>
      <c r="F1218" s="14"/>
      <c r="G1218" s="14"/>
      <c r="H1218" s="14"/>
      <c r="I1218" s="14"/>
      <c r="J1218" s="14"/>
      <c r="K1218" s="26"/>
    </row>
    <row r="1219" spans="1:11" ht="20.149999999999999" customHeight="1" x14ac:dyDescent="0.35">
      <c r="A1219" s="1"/>
      <c r="B1219" s="17"/>
      <c r="C1219" s="125"/>
      <c r="D1219" s="24"/>
      <c r="E1219" s="14"/>
      <c r="F1219" s="14"/>
      <c r="G1219" s="14"/>
      <c r="H1219" s="14"/>
      <c r="I1219" s="14"/>
      <c r="J1219" s="14"/>
      <c r="K1219" s="26"/>
    </row>
    <row r="1220" spans="1:11" ht="20.149999999999999" customHeight="1" x14ac:dyDescent="0.35">
      <c r="A1220" s="1"/>
      <c r="B1220" s="17"/>
      <c r="C1220" s="125"/>
      <c r="D1220" s="24"/>
      <c r="E1220" s="14"/>
      <c r="F1220" s="14"/>
      <c r="G1220" s="14"/>
      <c r="H1220" s="14"/>
      <c r="I1220" s="14"/>
      <c r="J1220" s="14"/>
      <c r="K1220" s="26"/>
    </row>
    <row r="1221" spans="1:11" ht="20.149999999999999" customHeight="1" x14ac:dyDescent="0.35">
      <c r="A1221" s="1"/>
      <c r="B1221" s="17"/>
      <c r="C1221" s="125"/>
      <c r="D1221" s="24"/>
      <c r="E1221" s="14"/>
      <c r="F1221" s="14"/>
      <c r="G1221" s="14"/>
      <c r="H1221" s="14"/>
      <c r="I1221" s="14"/>
      <c r="J1221" s="14"/>
      <c r="K1221" s="26"/>
    </row>
    <row r="1222" spans="1:11" ht="20.149999999999999" customHeight="1" x14ac:dyDescent="0.35">
      <c r="A1222" s="1"/>
      <c r="B1222" s="17"/>
      <c r="C1222" s="125"/>
      <c r="D1222" s="24"/>
      <c r="E1222" s="14"/>
      <c r="F1222" s="14"/>
      <c r="G1222" s="14"/>
      <c r="H1222" s="14"/>
      <c r="I1222" s="14"/>
      <c r="J1222" s="14"/>
      <c r="K1222" s="26"/>
    </row>
    <row r="1223" spans="1:11" ht="20.149999999999999" customHeight="1" x14ac:dyDescent="0.35">
      <c r="A1223" s="1"/>
      <c r="B1223" s="17"/>
      <c r="C1223" s="125"/>
      <c r="D1223" s="24"/>
      <c r="E1223" s="14"/>
      <c r="F1223" s="14"/>
      <c r="G1223" s="14"/>
      <c r="H1223" s="14"/>
      <c r="I1223" s="14"/>
      <c r="J1223" s="14"/>
      <c r="K1223" s="26"/>
    </row>
    <row r="1224" spans="1:11" ht="20.149999999999999" customHeight="1" x14ac:dyDescent="0.35">
      <c r="A1224" s="1"/>
      <c r="B1224" s="17"/>
      <c r="C1224" s="125"/>
      <c r="D1224" s="24"/>
      <c r="E1224" s="14"/>
      <c r="F1224" s="14"/>
      <c r="G1224" s="14"/>
      <c r="H1224" s="14"/>
      <c r="I1224" s="14"/>
      <c r="J1224" s="14"/>
      <c r="K1224" s="26"/>
    </row>
    <row r="1225" spans="1:11" ht="20.149999999999999" customHeight="1" x14ac:dyDescent="0.35">
      <c r="A1225" s="1"/>
      <c r="B1225" s="17"/>
      <c r="C1225" s="125"/>
      <c r="D1225" s="24"/>
      <c r="E1225" s="14"/>
      <c r="F1225" s="14"/>
      <c r="G1225" s="14"/>
      <c r="H1225" s="14"/>
      <c r="I1225" s="14"/>
      <c r="J1225" s="14"/>
      <c r="K1225" s="26"/>
    </row>
    <row r="1226" spans="1:11" ht="20.149999999999999" customHeight="1" x14ac:dyDescent="0.35">
      <c r="A1226" s="1"/>
      <c r="B1226" s="17"/>
      <c r="C1226" s="125"/>
      <c r="D1226" s="24"/>
      <c r="E1226" s="14"/>
      <c r="F1226" s="14"/>
      <c r="G1226" s="14"/>
      <c r="H1226" s="14"/>
      <c r="I1226" s="14"/>
      <c r="J1226" s="14"/>
      <c r="K1226" s="26"/>
    </row>
    <row r="1227" spans="1:11" ht="20.149999999999999" customHeight="1" x14ac:dyDescent="0.35">
      <c r="A1227" s="1"/>
      <c r="B1227" s="17"/>
      <c r="C1227" s="125"/>
      <c r="D1227" s="24"/>
      <c r="E1227" s="14"/>
      <c r="F1227" s="14"/>
      <c r="G1227" s="14"/>
      <c r="H1227" s="14"/>
      <c r="I1227" s="14"/>
      <c r="J1227" s="14"/>
      <c r="K1227" s="26"/>
    </row>
    <row r="1228" spans="1:11" ht="20.149999999999999" customHeight="1" x14ac:dyDescent="0.35">
      <c r="A1228" s="1"/>
      <c r="B1228" s="17"/>
      <c r="C1228" s="125"/>
      <c r="D1228" s="24"/>
      <c r="E1228" s="14"/>
      <c r="F1228" s="14"/>
      <c r="G1228" s="14"/>
      <c r="H1228" s="14"/>
      <c r="I1228" s="14"/>
      <c r="J1228" s="14"/>
      <c r="K1228" s="26"/>
    </row>
    <row r="1229" spans="1:11" ht="20.149999999999999" customHeight="1" x14ac:dyDescent="0.35">
      <c r="A1229" s="1"/>
      <c r="B1229" s="17"/>
      <c r="C1229" s="125"/>
      <c r="D1229" s="24"/>
      <c r="E1229" s="14"/>
      <c r="F1229" s="14"/>
      <c r="G1229" s="14"/>
      <c r="H1229" s="14"/>
      <c r="I1229" s="14"/>
      <c r="J1229" s="14"/>
      <c r="K1229" s="26"/>
    </row>
    <row r="1230" spans="1:11" ht="20.149999999999999" customHeight="1" x14ac:dyDescent="0.35">
      <c r="A1230" s="1"/>
      <c r="B1230" s="17"/>
      <c r="C1230" s="125"/>
      <c r="D1230" s="24"/>
      <c r="E1230" s="14"/>
      <c r="F1230" s="14"/>
      <c r="G1230" s="14"/>
      <c r="H1230" s="14"/>
      <c r="I1230" s="14"/>
      <c r="J1230" s="14"/>
      <c r="K1230" s="26"/>
    </row>
    <row r="1231" spans="1:11" ht="20.149999999999999" customHeight="1" x14ac:dyDescent="0.35">
      <c r="A1231" s="1"/>
      <c r="B1231" s="17"/>
      <c r="C1231" s="125"/>
      <c r="D1231" s="24"/>
      <c r="E1231" s="14"/>
      <c r="F1231" s="14"/>
      <c r="G1231" s="14"/>
      <c r="H1231" s="14"/>
      <c r="I1231" s="14"/>
      <c r="J1231" s="14"/>
      <c r="K1231" s="26"/>
    </row>
    <row r="1232" spans="1:11" ht="20.149999999999999" customHeight="1" x14ac:dyDescent="0.35">
      <c r="A1232" s="1"/>
      <c r="B1232" s="17"/>
      <c r="C1232" s="125"/>
      <c r="D1232" s="24"/>
      <c r="E1232" s="14"/>
      <c r="F1232" s="14"/>
      <c r="G1232" s="14"/>
      <c r="H1232" s="14"/>
      <c r="I1232" s="14"/>
      <c r="J1232" s="14"/>
      <c r="K1232" s="26"/>
    </row>
    <row r="1233" spans="1:11" ht="20.149999999999999" customHeight="1" x14ac:dyDescent="0.35">
      <c r="A1233" s="1"/>
      <c r="B1233" s="17"/>
      <c r="C1233" s="125"/>
      <c r="D1233" s="24"/>
      <c r="E1233" s="14"/>
      <c r="F1233" s="14"/>
      <c r="G1233" s="14"/>
      <c r="H1233" s="14"/>
      <c r="I1233" s="14"/>
      <c r="J1233" s="14"/>
      <c r="K1233" s="26"/>
    </row>
    <row r="1234" spans="1:11" ht="20.149999999999999" customHeight="1" x14ac:dyDescent="0.35">
      <c r="A1234" s="1"/>
      <c r="B1234" s="17"/>
      <c r="C1234" s="125"/>
      <c r="D1234" s="24"/>
      <c r="E1234" s="14"/>
      <c r="F1234" s="14"/>
      <c r="G1234" s="14"/>
      <c r="H1234" s="14"/>
      <c r="I1234" s="14"/>
      <c r="J1234" s="14"/>
      <c r="K1234" s="26"/>
    </row>
    <row r="1235" spans="1:11" ht="20.149999999999999" customHeight="1" x14ac:dyDescent="0.35">
      <c r="A1235" s="1"/>
      <c r="B1235" s="17"/>
      <c r="C1235" s="125"/>
      <c r="D1235" s="24"/>
      <c r="E1235" s="14"/>
      <c r="F1235" s="14"/>
      <c r="G1235" s="14"/>
      <c r="H1235" s="14"/>
      <c r="I1235" s="14"/>
      <c r="J1235" s="14"/>
      <c r="K1235" s="26"/>
    </row>
    <row r="1236" spans="1:11" ht="20.149999999999999" customHeight="1" x14ac:dyDescent="0.35">
      <c r="A1236" s="1"/>
      <c r="B1236" s="17"/>
      <c r="C1236" s="125"/>
      <c r="D1236" s="24"/>
      <c r="E1236" s="14"/>
      <c r="F1236" s="14"/>
      <c r="G1236" s="14"/>
      <c r="H1236" s="14"/>
      <c r="I1236" s="14"/>
      <c r="J1236" s="14"/>
      <c r="K1236" s="26"/>
    </row>
    <row r="1237" spans="1:11" ht="20.149999999999999" customHeight="1" thickBot="1" x14ac:dyDescent="0.4">
      <c r="A1237" s="1"/>
      <c r="B1237" s="17"/>
      <c r="C1237" s="125"/>
      <c r="D1237" s="24"/>
      <c r="E1237" s="14"/>
      <c r="F1237" s="14"/>
      <c r="G1237" s="14"/>
      <c r="H1237" s="14"/>
      <c r="I1237" s="14"/>
      <c r="J1237" s="14"/>
      <c r="K1237" s="26"/>
    </row>
    <row r="1238" spans="1:11" ht="24" customHeight="1" thickBot="1" x14ac:dyDescent="0.4">
      <c r="A1238" s="1"/>
      <c r="B1238" s="59"/>
      <c r="C1238" s="59" t="s">
        <v>904</v>
      </c>
      <c r="D1238" s="24"/>
      <c r="E1238" s="30" t="s">
        <v>20</v>
      </c>
      <c r="F1238" s="30" t="s">
        <v>24</v>
      </c>
      <c r="G1238" s="30" t="s">
        <v>27</v>
      </c>
      <c r="H1238" s="30" t="s">
        <v>29</v>
      </c>
      <c r="I1238" s="31" t="s">
        <v>32</v>
      </c>
      <c r="J1238" s="71" t="s">
        <v>35</v>
      </c>
      <c r="K1238" s="26"/>
    </row>
    <row r="1239" spans="1:11" ht="24" customHeight="1" x14ac:dyDescent="0.35">
      <c r="A1239" s="1"/>
      <c r="B1239" s="70">
        <v>1.1000000000000001</v>
      </c>
      <c r="C1239" s="120" t="s">
        <v>37</v>
      </c>
      <c r="D1239" s="24"/>
      <c r="E1239" s="126">
        <f t="shared" ref="E1239:J1239" si="31">SUM(E269)</f>
        <v>0</v>
      </c>
      <c r="F1239" s="126">
        <f t="shared" si="31"/>
        <v>1</v>
      </c>
      <c r="G1239" s="126">
        <f t="shared" si="31"/>
        <v>0</v>
      </c>
      <c r="H1239" s="126">
        <f t="shared" si="31"/>
        <v>0</v>
      </c>
      <c r="I1239" s="126">
        <f t="shared" si="31"/>
        <v>0</v>
      </c>
      <c r="J1239" s="127">
        <f t="shared" si="31"/>
        <v>1</v>
      </c>
      <c r="K1239" s="26"/>
    </row>
    <row r="1240" spans="1:11" ht="24" customHeight="1" x14ac:dyDescent="0.35">
      <c r="A1240" s="1"/>
      <c r="B1240" s="70">
        <v>1.2</v>
      </c>
      <c r="C1240" s="120" t="s">
        <v>98</v>
      </c>
      <c r="D1240" s="24"/>
      <c r="E1240" s="128">
        <f t="shared" ref="E1240:J1240" si="32">SUM(E360)</f>
        <v>1</v>
      </c>
      <c r="F1240" s="128">
        <f t="shared" si="32"/>
        <v>0</v>
      </c>
      <c r="G1240" s="128">
        <f t="shared" si="32"/>
        <v>0</v>
      </c>
      <c r="H1240" s="128">
        <f t="shared" si="32"/>
        <v>0</v>
      </c>
      <c r="I1240" s="128">
        <f t="shared" si="32"/>
        <v>0</v>
      </c>
      <c r="J1240" s="128">
        <f t="shared" si="32"/>
        <v>1</v>
      </c>
      <c r="K1240" s="26"/>
    </row>
    <row r="1241" spans="1:11" ht="24" customHeight="1" x14ac:dyDescent="0.35">
      <c r="A1241" s="1"/>
      <c r="B1241" s="70">
        <v>1.3</v>
      </c>
      <c r="C1241" s="120" t="s">
        <v>179</v>
      </c>
      <c r="D1241" s="24"/>
      <c r="E1241" s="128" t="e">
        <f>SUM(#REF!)</f>
        <v>#REF!</v>
      </c>
      <c r="F1241" s="128" t="e">
        <f>SUM(#REF!)</f>
        <v>#REF!</v>
      </c>
      <c r="G1241" s="128" t="e">
        <f>SUM(#REF!)</f>
        <v>#REF!</v>
      </c>
      <c r="H1241" s="128" t="e">
        <f>SUM(#REF!)</f>
        <v>#REF!</v>
      </c>
      <c r="I1241" s="128" t="e">
        <f>SUM(#REF!)</f>
        <v>#REF!</v>
      </c>
      <c r="J1241" s="128" t="e">
        <f>SUM(#REF!)</f>
        <v>#REF!</v>
      </c>
      <c r="K1241" s="26"/>
    </row>
    <row r="1242" spans="1:11" ht="24" customHeight="1" x14ac:dyDescent="0.35">
      <c r="A1242" s="1"/>
      <c r="B1242" s="70">
        <v>1.4</v>
      </c>
      <c r="C1242" s="120" t="s">
        <v>249</v>
      </c>
      <c r="D1242" s="24"/>
      <c r="E1242" s="128">
        <f t="shared" ref="E1242:J1242" si="33">SUM(E452)</f>
        <v>0</v>
      </c>
      <c r="F1242" s="128">
        <f t="shared" si="33"/>
        <v>0</v>
      </c>
      <c r="G1242" s="128">
        <f t="shared" si="33"/>
        <v>0</v>
      </c>
      <c r="H1242" s="128">
        <f t="shared" si="33"/>
        <v>0</v>
      </c>
      <c r="I1242" s="128">
        <f t="shared" si="33"/>
        <v>0</v>
      </c>
      <c r="J1242" s="128">
        <f t="shared" si="33"/>
        <v>0</v>
      </c>
      <c r="K1242" s="26"/>
    </row>
    <row r="1243" spans="1:11" ht="24" customHeight="1" x14ac:dyDescent="0.35">
      <c r="A1243" s="1"/>
      <c r="B1243" s="70">
        <v>1.5</v>
      </c>
      <c r="C1243" s="120" t="s">
        <v>905</v>
      </c>
      <c r="D1243" s="24"/>
      <c r="E1243" s="128">
        <f t="shared" ref="E1243:J1243" si="34">SUM(E504)</f>
        <v>0</v>
      </c>
      <c r="F1243" s="128">
        <f t="shared" si="34"/>
        <v>0</v>
      </c>
      <c r="G1243" s="128">
        <f t="shared" si="34"/>
        <v>0</v>
      </c>
      <c r="H1243" s="128">
        <f t="shared" si="34"/>
        <v>0</v>
      </c>
      <c r="I1243" s="128">
        <f t="shared" si="34"/>
        <v>0</v>
      </c>
      <c r="J1243" s="128">
        <f t="shared" si="34"/>
        <v>0</v>
      </c>
      <c r="K1243" s="26"/>
    </row>
    <row r="1244" spans="1:11" ht="24" customHeight="1" x14ac:dyDescent="0.35">
      <c r="A1244" s="1"/>
      <c r="B1244" s="70">
        <v>1.6</v>
      </c>
      <c r="C1244" s="120" t="s">
        <v>330</v>
      </c>
      <c r="E1244" s="175" t="e">
        <f>SUM(#REF!)</f>
        <v>#REF!</v>
      </c>
      <c r="F1244" s="175" t="e">
        <f>SUM(#REF!)</f>
        <v>#REF!</v>
      </c>
      <c r="G1244" s="175" t="e">
        <f>SUM(#REF!)</f>
        <v>#REF!</v>
      </c>
      <c r="H1244" s="175" t="e">
        <f>SUM(#REF!)</f>
        <v>#REF!</v>
      </c>
      <c r="I1244" s="175" t="e">
        <f>SUM(#REF!)</f>
        <v>#REF!</v>
      </c>
      <c r="J1244" s="175" t="e">
        <f>SUM(#REF!)</f>
        <v>#REF!</v>
      </c>
    </row>
    <row r="1245" spans="1:11" ht="24" customHeight="1" x14ac:dyDescent="0.35">
      <c r="A1245" s="1"/>
      <c r="B1245" s="70">
        <v>1.7</v>
      </c>
      <c r="C1245" s="120" t="s">
        <v>345</v>
      </c>
      <c r="D1245" s="24"/>
      <c r="E1245" s="129">
        <f t="shared" ref="E1245:J1245" si="35">SUM(E616)</f>
        <v>1</v>
      </c>
      <c r="F1245" s="129">
        <f>SUM(F616)</f>
        <v>0</v>
      </c>
      <c r="G1245" s="129">
        <f t="shared" si="35"/>
        <v>0</v>
      </c>
      <c r="H1245" s="129">
        <f t="shared" si="35"/>
        <v>0</v>
      </c>
      <c r="I1245" s="129">
        <f t="shared" si="35"/>
        <v>0</v>
      </c>
      <c r="J1245" s="129">
        <f t="shared" si="35"/>
        <v>1</v>
      </c>
      <c r="K1245" s="26"/>
    </row>
    <row r="1246" spans="1:11" ht="24" customHeight="1" x14ac:dyDescent="0.35">
      <c r="A1246" s="1"/>
      <c r="B1246" s="70">
        <v>1.8</v>
      </c>
      <c r="C1246" s="120" t="s">
        <v>399</v>
      </c>
      <c r="D1246" s="24"/>
      <c r="E1246" s="130">
        <f t="shared" ref="E1246:J1246" si="36">SUM(E728)</f>
        <v>1</v>
      </c>
      <c r="F1246" s="130">
        <f t="shared" si="36"/>
        <v>0</v>
      </c>
      <c r="G1246" s="130">
        <f t="shared" si="36"/>
        <v>0</v>
      </c>
      <c r="H1246" s="130">
        <f t="shared" si="36"/>
        <v>0</v>
      </c>
      <c r="I1246" s="130">
        <f t="shared" si="36"/>
        <v>0</v>
      </c>
      <c r="J1246" s="130">
        <f t="shared" si="36"/>
        <v>1</v>
      </c>
      <c r="K1246" s="26"/>
    </row>
    <row r="1247" spans="1:11" ht="24" customHeight="1" thickBot="1" x14ac:dyDescent="0.4">
      <c r="A1247" s="1"/>
      <c r="B1247" s="70">
        <v>1.9</v>
      </c>
      <c r="C1247" s="176" t="s">
        <v>444</v>
      </c>
      <c r="D1247" s="24"/>
      <c r="E1247" s="131">
        <f t="shared" ref="E1247:J1247" si="37">SUM(E793)</f>
        <v>1</v>
      </c>
      <c r="F1247" s="131">
        <f t="shared" si="37"/>
        <v>0</v>
      </c>
      <c r="G1247" s="131">
        <f t="shared" si="37"/>
        <v>0</v>
      </c>
      <c r="H1247" s="131">
        <f t="shared" si="37"/>
        <v>0</v>
      </c>
      <c r="I1247" s="131">
        <f t="shared" si="37"/>
        <v>0</v>
      </c>
      <c r="J1247" s="131">
        <f t="shared" si="37"/>
        <v>1</v>
      </c>
      <c r="K1247" s="26"/>
    </row>
    <row r="1248" spans="1:11" ht="24" customHeight="1" thickBot="1" x14ac:dyDescent="0.4">
      <c r="A1248" s="1"/>
      <c r="B1248" s="123">
        <v>1.1000000000000001</v>
      </c>
      <c r="C1248" s="120" t="s">
        <v>462</v>
      </c>
      <c r="D1248" s="24"/>
      <c r="E1248" s="131">
        <f t="shared" ref="E1248:J1248" si="38">SUM(E801)</f>
        <v>1</v>
      </c>
      <c r="F1248" s="131">
        <f t="shared" si="38"/>
        <v>0</v>
      </c>
      <c r="G1248" s="131">
        <f t="shared" si="38"/>
        <v>0</v>
      </c>
      <c r="H1248" s="131">
        <f t="shared" si="38"/>
        <v>0</v>
      </c>
      <c r="I1248" s="131">
        <f t="shared" si="38"/>
        <v>0</v>
      </c>
      <c r="J1248" s="131">
        <f t="shared" si="38"/>
        <v>1</v>
      </c>
      <c r="K1248" s="26"/>
    </row>
    <row r="1249" spans="1:12" ht="24" customHeight="1" thickBot="1" x14ac:dyDescent="0.4">
      <c r="A1249" s="1"/>
      <c r="B1249" s="70">
        <v>1.1100000000000001</v>
      </c>
      <c r="C1249" s="177" t="s">
        <v>521</v>
      </c>
      <c r="D1249" s="24"/>
      <c r="E1249" s="178"/>
      <c r="F1249" s="178"/>
      <c r="G1249" s="178"/>
      <c r="H1249" s="178"/>
      <c r="I1249" s="178"/>
      <c r="J1249" s="178"/>
      <c r="K1249" s="26"/>
    </row>
    <row r="1250" spans="1:12" ht="24" customHeight="1" thickBot="1" x14ac:dyDescent="0.4">
      <c r="A1250" s="1"/>
      <c r="B1250" s="70">
        <v>1.1200000000000001</v>
      </c>
      <c r="C1250" s="177" t="s">
        <v>524</v>
      </c>
      <c r="D1250" s="24"/>
      <c r="E1250" s="178"/>
      <c r="F1250" s="178"/>
      <c r="G1250" s="178"/>
      <c r="H1250" s="178"/>
      <c r="I1250" s="178"/>
      <c r="J1250" s="178"/>
      <c r="K1250" s="26"/>
    </row>
    <row r="1251" spans="1:12" ht="24" customHeight="1" thickBot="1" x14ac:dyDescent="0.4">
      <c r="A1251" s="1"/>
      <c r="B1251" s="70">
        <v>1.1299999999999999</v>
      </c>
      <c r="C1251" s="120" t="s">
        <v>526</v>
      </c>
      <c r="D1251" s="24"/>
      <c r="E1251" s="131">
        <f t="shared" ref="E1251:J1251" si="39">SUM(E947)</f>
        <v>0</v>
      </c>
      <c r="F1251" s="131">
        <f t="shared" si="39"/>
        <v>0</v>
      </c>
      <c r="G1251" s="131">
        <f t="shared" si="39"/>
        <v>0</v>
      </c>
      <c r="H1251" s="131">
        <f t="shared" si="39"/>
        <v>0</v>
      </c>
      <c r="I1251" s="131">
        <f t="shared" si="39"/>
        <v>0</v>
      </c>
      <c r="J1251" s="131">
        <f t="shared" si="39"/>
        <v>0</v>
      </c>
      <c r="K1251" s="26"/>
    </row>
    <row r="1252" spans="1:12" ht="24" customHeight="1" thickBot="1" x14ac:dyDescent="0.4">
      <c r="A1252" s="1"/>
      <c r="B1252" s="70">
        <v>1.1399999999999999</v>
      </c>
      <c r="C1252" s="120" t="s">
        <v>541</v>
      </c>
      <c r="D1252" s="24"/>
      <c r="E1252" s="131">
        <f t="shared" ref="E1252:J1252" si="40">SUM(E992)</f>
        <v>1</v>
      </c>
      <c r="F1252" s="131">
        <f t="shared" si="40"/>
        <v>0</v>
      </c>
      <c r="G1252" s="131">
        <f t="shared" si="40"/>
        <v>0</v>
      </c>
      <c r="H1252" s="131">
        <f t="shared" si="40"/>
        <v>0</v>
      </c>
      <c r="I1252" s="131">
        <f t="shared" si="40"/>
        <v>0</v>
      </c>
      <c r="J1252" s="131">
        <f t="shared" si="40"/>
        <v>1</v>
      </c>
      <c r="K1252" s="26"/>
    </row>
    <row r="1253" spans="1:12" ht="24" customHeight="1" thickBot="1" x14ac:dyDescent="0.4">
      <c r="A1253" s="1"/>
      <c r="B1253" s="70">
        <v>1.1499999999999999</v>
      </c>
      <c r="C1253" s="120" t="s">
        <v>584</v>
      </c>
      <c r="D1253" s="24"/>
      <c r="E1253" s="131">
        <f t="shared" ref="E1253:J1253" si="41">SUM(E1008)</f>
        <v>1</v>
      </c>
      <c r="F1253" s="131">
        <f t="shared" si="41"/>
        <v>0</v>
      </c>
      <c r="G1253" s="131">
        <f t="shared" si="41"/>
        <v>0</v>
      </c>
      <c r="H1253" s="131">
        <f t="shared" si="41"/>
        <v>0</v>
      </c>
      <c r="I1253" s="131">
        <f t="shared" si="41"/>
        <v>0</v>
      </c>
      <c r="J1253" s="131">
        <f t="shared" si="41"/>
        <v>1</v>
      </c>
      <c r="K1253" s="26"/>
    </row>
    <row r="1254" spans="1:12" ht="24" customHeight="1" thickBot="1" x14ac:dyDescent="0.4">
      <c r="A1254" s="1"/>
      <c r="B1254" s="70">
        <v>1.1599999999999999</v>
      </c>
      <c r="C1254" s="120" t="s">
        <v>625</v>
      </c>
      <c r="D1254" s="24"/>
      <c r="E1254" s="131">
        <f t="shared" ref="E1254:J1254" si="42">SUM(E1028)</f>
        <v>0</v>
      </c>
      <c r="F1254" s="131">
        <f t="shared" si="42"/>
        <v>1</v>
      </c>
      <c r="G1254" s="131">
        <f t="shared" si="42"/>
        <v>0</v>
      </c>
      <c r="H1254" s="131">
        <f t="shared" si="42"/>
        <v>0</v>
      </c>
      <c r="I1254" s="131">
        <f t="shared" si="42"/>
        <v>0</v>
      </c>
      <c r="J1254" s="131">
        <f t="shared" si="42"/>
        <v>1</v>
      </c>
      <c r="K1254" s="26"/>
    </row>
    <row r="1255" spans="1:12" ht="24" customHeight="1" thickBot="1" x14ac:dyDescent="0.4">
      <c r="A1255" s="1"/>
      <c r="B1255" s="70">
        <v>1.17</v>
      </c>
      <c r="C1255" s="120" t="s">
        <v>635</v>
      </c>
      <c r="D1255" s="24"/>
      <c r="E1255" s="131">
        <f t="shared" ref="E1255:J1255" si="43">SUM(E1036)</f>
        <v>1</v>
      </c>
      <c r="F1255" s="131">
        <f t="shared" si="43"/>
        <v>0</v>
      </c>
      <c r="G1255" s="131">
        <f t="shared" si="43"/>
        <v>0</v>
      </c>
      <c r="H1255" s="131">
        <f t="shared" si="43"/>
        <v>0</v>
      </c>
      <c r="I1255" s="131">
        <f t="shared" si="43"/>
        <v>0</v>
      </c>
      <c r="J1255" s="131">
        <f t="shared" si="43"/>
        <v>1</v>
      </c>
      <c r="K1255" s="26"/>
    </row>
    <row r="1256" spans="1:12" ht="24" customHeight="1" thickBot="1" x14ac:dyDescent="0.4">
      <c r="A1256" s="1"/>
      <c r="B1256" s="70">
        <v>1.18</v>
      </c>
      <c r="C1256" s="177" t="s">
        <v>645</v>
      </c>
      <c r="D1256" s="24"/>
      <c r="E1256" s="178"/>
      <c r="F1256" s="178"/>
      <c r="G1256" s="178"/>
      <c r="H1256" s="178"/>
      <c r="I1256" s="178"/>
      <c r="J1256" s="178"/>
      <c r="K1256" s="26"/>
    </row>
    <row r="1257" spans="1:12" ht="26.25" customHeight="1" thickBot="1" x14ac:dyDescent="0.4">
      <c r="A1257" s="1"/>
      <c r="B1257" s="70">
        <v>1.19</v>
      </c>
      <c r="C1257" s="120" t="s">
        <v>647</v>
      </c>
      <c r="D1257" s="24"/>
      <c r="E1257" s="131"/>
      <c r="F1257" s="131"/>
      <c r="G1257" s="131"/>
      <c r="H1257" s="131"/>
      <c r="I1257" s="131"/>
      <c r="J1257" s="131"/>
      <c r="K1257" s="26"/>
    </row>
    <row r="1258" spans="1:12" s="34" customFormat="1" ht="18.5" thickBot="1" x14ac:dyDescent="0.4">
      <c r="A1258" s="60"/>
      <c r="B1258" s="123">
        <v>1.2</v>
      </c>
      <c r="C1258" s="120" t="s">
        <v>658</v>
      </c>
      <c r="D1258" s="24"/>
      <c r="E1258" s="131"/>
      <c r="F1258" s="131"/>
      <c r="G1258" s="131"/>
      <c r="H1258" s="131"/>
      <c r="I1258" s="131"/>
      <c r="J1258" s="131"/>
      <c r="K1258" s="16"/>
      <c r="L1258" s="16"/>
    </row>
    <row r="1259" spans="1:12" s="34" customFormat="1" ht="20.149999999999999" customHeight="1" thickBot="1" x14ac:dyDescent="0.4">
      <c r="A1259" s="16"/>
      <c r="B1259" s="70">
        <v>1.21</v>
      </c>
      <c r="C1259" s="120" t="s">
        <v>699</v>
      </c>
      <c r="D1259" s="24"/>
      <c r="E1259" s="131"/>
      <c r="F1259" s="131"/>
      <c r="G1259" s="131"/>
      <c r="H1259" s="131"/>
      <c r="I1259" s="131"/>
      <c r="J1259" s="131"/>
      <c r="L1259" s="16"/>
    </row>
    <row r="1260" spans="1:12" ht="20.149999999999999" customHeight="1" thickBot="1" x14ac:dyDescent="0.4">
      <c r="B1260" s="70">
        <v>1.22</v>
      </c>
      <c r="C1260" s="120" t="s">
        <v>711</v>
      </c>
      <c r="D1260" s="24"/>
      <c r="E1260" s="131"/>
      <c r="F1260" s="131"/>
      <c r="G1260" s="131"/>
      <c r="H1260" s="131"/>
      <c r="I1260" s="131"/>
      <c r="J1260" s="131"/>
    </row>
    <row r="1261" spans="1:12" ht="18.5" thickBot="1" x14ac:dyDescent="0.4">
      <c r="B1261" s="70">
        <v>1.23</v>
      </c>
      <c r="C1261" s="177" t="s">
        <v>725</v>
      </c>
      <c r="D1261" s="24"/>
      <c r="E1261" s="178"/>
      <c r="F1261" s="178"/>
      <c r="G1261" s="178"/>
      <c r="H1261" s="178"/>
      <c r="I1261" s="178"/>
      <c r="J1261" s="178"/>
    </row>
    <row r="1262" spans="1:12" ht="18.5" thickBot="1" x14ac:dyDescent="0.4">
      <c r="B1262" s="70">
        <v>1.24</v>
      </c>
      <c r="C1262" s="120" t="s">
        <v>727</v>
      </c>
      <c r="D1262" s="24"/>
      <c r="E1262" s="131"/>
      <c r="F1262" s="131"/>
      <c r="G1262" s="131"/>
      <c r="H1262" s="131"/>
      <c r="I1262" s="131"/>
      <c r="J1262" s="131"/>
    </row>
    <row r="1263" spans="1:12" ht="18.5" thickBot="1" x14ac:dyDescent="0.4">
      <c r="B1263" s="70">
        <v>1.25</v>
      </c>
      <c r="C1263" s="120" t="s">
        <v>763</v>
      </c>
      <c r="D1263" s="24"/>
      <c r="E1263" s="131"/>
      <c r="F1263" s="131"/>
      <c r="G1263" s="131"/>
      <c r="H1263" s="131"/>
      <c r="I1263" s="131"/>
      <c r="J1263" s="131"/>
    </row>
    <row r="1264" spans="1:12" ht="18.5" thickBot="1" x14ac:dyDescent="0.4">
      <c r="B1264" s="70">
        <v>1.26</v>
      </c>
      <c r="C1264" s="121" t="s">
        <v>809</v>
      </c>
      <c r="D1264" s="24"/>
      <c r="E1264" s="131"/>
      <c r="F1264" s="131"/>
      <c r="G1264" s="131"/>
      <c r="H1264" s="131"/>
      <c r="I1264" s="131"/>
      <c r="J1264" s="131"/>
    </row>
    <row r="1265" spans="2:10" ht="18.5" thickBot="1" x14ac:dyDescent="0.4">
      <c r="B1265" s="70">
        <v>1.27</v>
      </c>
      <c r="C1265" s="120" t="s">
        <v>826</v>
      </c>
      <c r="D1265" s="24"/>
      <c r="E1265" s="131"/>
      <c r="F1265" s="131"/>
      <c r="G1265" s="131"/>
      <c r="H1265" s="131"/>
      <c r="I1265" s="131"/>
      <c r="J1265" s="131"/>
    </row>
    <row r="1266" spans="2:10" ht="18.5" thickBot="1" x14ac:dyDescent="0.4">
      <c r="B1266" s="123">
        <v>1.28</v>
      </c>
      <c r="C1266" s="177" t="s">
        <v>906</v>
      </c>
      <c r="D1266" s="24"/>
      <c r="E1266" s="178"/>
      <c r="F1266" s="178"/>
      <c r="G1266" s="178"/>
      <c r="H1266" s="178"/>
      <c r="I1266" s="178"/>
      <c r="J1266" s="178"/>
    </row>
    <row r="1267" spans="2:10" ht="18.5" thickBot="1" x14ac:dyDescent="0.4">
      <c r="B1267" s="70">
        <v>1.29</v>
      </c>
      <c r="C1267" s="177" t="s">
        <v>907</v>
      </c>
      <c r="D1267" s="24"/>
      <c r="E1267" s="178"/>
      <c r="F1267" s="178"/>
      <c r="G1267" s="178"/>
      <c r="H1267" s="178"/>
      <c r="I1267" s="178"/>
      <c r="J1267" s="178"/>
    </row>
    <row r="1268" spans="2:10" ht="18.5" thickBot="1" x14ac:dyDescent="0.4">
      <c r="B1268" s="123">
        <v>1.3</v>
      </c>
      <c r="C1268" s="120" t="s">
        <v>908</v>
      </c>
      <c r="D1268" s="24"/>
      <c r="E1268" s="131"/>
      <c r="F1268" s="131"/>
      <c r="G1268" s="131"/>
      <c r="H1268" s="131"/>
      <c r="I1268" s="131"/>
      <c r="J1268" s="131"/>
    </row>
    <row r="1269" spans="2:10" ht="18" x14ac:dyDescent="0.35">
      <c r="B1269" s="17"/>
      <c r="C1269" s="122" t="s">
        <v>909</v>
      </c>
      <c r="D1269" s="24"/>
      <c r="E1269" s="14" t="e">
        <f t="shared" ref="E1269:J1269" si="44">SUM(E1239:E1268)</f>
        <v>#REF!</v>
      </c>
      <c r="F1269" s="14" t="e">
        <f t="shared" si="44"/>
        <v>#REF!</v>
      </c>
      <c r="G1269" s="14" t="e">
        <f t="shared" si="44"/>
        <v>#REF!</v>
      </c>
      <c r="H1269" s="14" t="e">
        <f t="shared" si="44"/>
        <v>#REF!</v>
      </c>
      <c r="I1269" s="14" t="e">
        <f t="shared" si="44"/>
        <v>#REF!</v>
      </c>
      <c r="J1269" s="14" t="e">
        <f t="shared" si="44"/>
        <v>#REF!</v>
      </c>
    </row>
  </sheetData>
  <mergeCells count="9">
    <mergeCell ref="C9:C18"/>
    <mergeCell ref="E8:K8"/>
    <mergeCell ref="E9:K9"/>
    <mergeCell ref="E11:K11"/>
    <mergeCell ref="F12:K12"/>
    <mergeCell ref="F13:K13"/>
    <mergeCell ref="F14:K14"/>
    <mergeCell ref="F15:K15"/>
    <mergeCell ref="F16:K16"/>
  </mergeCells>
  <pageMargins left="0.7" right="0.7" top="0.75" bottom="0.75" header="0.3" footer="0.3"/>
  <pageSetup scale="5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SharedWithUsers xmlns="c9528f17-f073-492f-990e-ade7e5933001">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68F6F7-784E-4ADA-A3E5-6DDF77A1CD34}">
  <ds:schemaRefs>
    <ds:schemaRef ds:uri="http://schemas.microsoft.com/sharepoint/v3/contenttype/forms"/>
  </ds:schemaRefs>
</ds:datastoreItem>
</file>

<file path=customXml/itemProps2.xml><?xml version="1.0" encoding="utf-8"?>
<ds:datastoreItem xmlns:ds="http://schemas.openxmlformats.org/officeDocument/2006/customXml" ds:itemID="{F89DD136-38C1-430A-BC42-A1F259BB6385}">
  <ds:schemaRefs>
    <ds:schemaRef ds:uri="http://schemas.microsoft.com/office/2006/metadata/properties"/>
    <ds:schemaRef ds:uri="http://schemas.microsoft.com/office/infopath/2007/PartnerControls"/>
    <ds:schemaRef ds:uri="bc67db1e-a625-492d-8a8a-975756d13727"/>
    <ds:schemaRef ds:uri="becce2f4-ff6a-43ba-a303-03e7fbf45fc8"/>
  </ds:schemaRefs>
</ds:datastoreItem>
</file>

<file path=customXml/itemProps3.xml><?xml version="1.0" encoding="utf-8"?>
<ds:datastoreItem xmlns:ds="http://schemas.openxmlformats.org/officeDocument/2006/customXml" ds:itemID="{C4AEBE2C-E6D3-40D0-AB1E-3310E402A1F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FUNCT &amp; TECH REQUIREMENTS</vt:lpstr>
      <vt:lpstr>'FUNCT &amp; TECH REQUIREMENTS'!Print_Area</vt:lpstr>
    </vt:vector>
  </TitlesOfParts>
  <Manager/>
  <Company>diakov.net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Thirdwave</dc:creator>
  <cp:keywords/>
  <dc:description/>
  <cp:lastModifiedBy>Victoria Lindsay</cp:lastModifiedBy>
  <cp:revision/>
  <dcterms:created xsi:type="dcterms:W3CDTF">2018-07-03T19:15:25Z</dcterms:created>
  <dcterms:modified xsi:type="dcterms:W3CDTF">2025-01-06T23:23:16Z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0x0101003CD26BD7D3F23048B5D0C3B7BAF7E670</vt:lpwstr>
  </property>
  <property fmtid="{D5CDD505-2E9C-101B-9397-08002B2CF9AE}" pid="3" name="MediaServiceImageTags">
    <vt:lpwstr/>
  </property>
  <property fmtid="{D5CDD505-2E9C-101B-9397-08002B2CF9AE}" pid="4" name="Order">
    <vt:r8>675000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