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carle\OneDrive\Documents\Projects\Clariti-CA Berkeley\"/>
    </mc:Choice>
  </mc:AlternateContent>
  <xr:revisionPtr revIDLastSave="0" documentId="13_ncr:1_{17EA9C22-C91B-41C4-A326-37772E7BA5CA}" xr6:coauthVersionLast="47" xr6:coauthVersionMax="47" xr10:uidLastSave="{00000000-0000-0000-0000-000000000000}"/>
  <bookViews>
    <workbookView xWindow="-1395" yWindow="-20805" windowWidth="38655" windowHeight="19155" xr2:uid="{00000000-000D-0000-FFFF-FFFF00000000}"/>
  </bookViews>
  <sheets>
    <sheet name="Reports Requireme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2" i="1" l="1"/>
  <c r="H272" i="1"/>
  <c r="I272" i="1"/>
  <c r="J272" i="1"/>
  <c r="K272" i="1"/>
  <c r="F272" i="1"/>
  <c r="K157" i="1"/>
  <c r="G157" i="1"/>
  <c r="F299" i="1" l="1"/>
  <c r="G266" i="1"/>
  <c r="G301" i="1" s="1"/>
  <c r="F266" i="1"/>
  <c r="F301" i="1" s="1"/>
  <c r="F54" i="1"/>
  <c r="K266" i="1"/>
  <c r="K301" i="1" s="1"/>
  <c r="J266" i="1"/>
  <c r="J301" i="1" s="1"/>
  <c r="I266" i="1"/>
  <c r="I301" i="1" s="1"/>
  <c r="H266" i="1"/>
  <c r="H301" i="1" s="1"/>
  <c r="K261" i="1"/>
  <c r="K300" i="1" s="1"/>
  <c r="K253" i="1"/>
  <c r="G261" i="1"/>
  <c r="G300" i="1" s="1"/>
  <c r="H261" i="1"/>
  <c r="H300" i="1" s="1"/>
  <c r="I261" i="1"/>
  <c r="I300" i="1" s="1"/>
  <c r="J261" i="1"/>
  <c r="J300" i="1" s="1"/>
  <c r="F261" i="1"/>
  <c r="F300" i="1" s="1"/>
  <c r="K299" i="1"/>
  <c r="J299" i="1"/>
  <c r="I299" i="1"/>
  <c r="H299" i="1"/>
  <c r="G299" i="1"/>
  <c r="K298" i="1"/>
  <c r="J298" i="1"/>
  <c r="I298" i="1"/>
  <c r="H298" i="1"/>
  <c r="G298" i="1"/>
  <c r="F298" i="1"/>
  <c r="J253" i="1"/>
  <c r="I253" i="1"/>
  <c r="H253" i="1"/>
  <c r="G253" i="1"/>
  <c r="F253" i="1"/>
  <c r="K247" i="1"/>
  <c r="J247" i="1"/>
  <c r="I247" i="1"/>
  <c r="H247" i="1"/>
  <c r="G247" i="1"/>
  <c r="F247" i="1"/>
  <c r="F165" i="1"/>
  <c r="F286" i="1" s="1"/>
  <c r="G165" i="1"/>
  <c r="G286" i="1" s="1"/>
  <c r="H165" i="1"/>
  <c r="H286" i="1" s="1"/>
  <c r="I165" i="1"/>
  <c r="I286" i="1" s="1"/>
  <c r="J165" i="1"/>
  <c r="J286" i="1" s="1"/>
  <c r="K165" i="1"/>
  <c r="K286" i="1" s="1"/>
  <c r="J241" i="1"/>
  <c r="J297" i="1" s="1"/>
  <c r="J235" i="1"/>
  <c r="J296" i="1" s="1"/>
  <c r="J226" i="1"/>
  <c r="J295" i="1" s="1"/>
  <c r="J220" i="1"/>
  <c r="J294" i="1" s="1"/>
  <c r="J214" i="1"/>
  <c r="J293" i="1" s="1"/>
  <c r="J209" i="1"/>
  <c r="J292" i="1" s="1"/>
  <c r="J202" i="1"/>
  <c r="J291" i="1" s="1"/>
  <c r="J191" i="1"/>
  <c r="J290" i="1" s="1"/>
  <c r="J182" i="1"/>
  <c r="J289" i="1" s="1"/>
  <c r="J175" i="1"/>
  <c r="J170" i="1"/>
  <c r="J287" i="1" s="1"/>
  <c r="J157" i="1"/>
  <c r="J285" i="1" s="1"/>
  <c r="J150" i="1"/>
  <c r="J284" i="1" s="1"/>
  <c r="J144" i="1"/>
  <c r="J281" i="1" s="1"/>
  <c r="J128" i="1"/>
  <c r="J280" i="1" s="1"/>
  <c r="J122" i="1"/>
  <c r="J279" i="1" s="1"/>
  <c r="J117" i="1"/>
  <c r="J278" i="1" s="1"/>
  <c r="J112" i="1"/>
  <c r="J277" i="1" s="1"/>
  <c r="J106" i="1"/>
  <c r="J276" i="1" s="1"/>
  <c r="J72" i="1"/>
  <c r="J275" i="1" s="1"/>
  <c r="J61" i="1"/>
  <c r="J54" i="1"/>
  <c r="J273" i="1" s="1"/>
  <c r="J30" i="1"/>
  <c r="J14" i="1"/>
  <c r="J271" i="1" s="1"/>
  <c r="I30" i="1"/>
  <c r="I54" i="1"/>
  <c r="I273" i="1" s="1"/>
  <c r="I61" i="1"/>
  <c r="I72" i="1"/>
  <c r="I275" i="1" s="1"/>
  <c r="I106" i="1"/>
  <c r="I276" i="1" s="1"/>
  <c r="I112" i="1"/>
  <c r="I277" i="1" s="1"/>
  <c r="I117" i="1"/>
  <c r="I278" i="1" s="1"/>
  <c r="I122" i="1"/>
  <c r="I279" i="1" s="1"/>
  <c r="I128" i="1"/>
  <c r="I280" i="1" s="1"/>
  <c r="I144" i="1"/>
  <c r="I281" i="1" s="1"/>
  <c r="I150" i="1"/>
  <c r="I284" i="1" s="1"/>
  <c r="I157" i="1"/>
  <c r="I285" i="1" s="1"/>
  <c r="I170" i="1"/>
  <c r="I287" i="1" s="1"/>
  <c r="I175" i="1"/>
  <c r="I182" i="1"/>
  <c r="I289" i="1" s="1"/>
  <c r="I191" i="1"/>
  <c r="I290" i="1" s="1"/>
  <c r="I202" i="1"/>
  <c r="I291" i="1" s="1"/>
  <c r="I209" i="1"/>
  <c r="I292" i="1" s="1"/>
  <c r="I214" i="1"/>
  <c r="I293" i="1" s="1"/>
  <c r="I220" i="1"/>
  <c r="I294" i="1" s="1"/>
  <c r="I226" i="1"/>
  <c r="I295" i="1" s="1"/>
  <c r="I235" i="1"/>
  <c r="I296" i="1" s="1"/>
  <c r="I241" i="1"/>
  <c r="I297" i="1" s="1"/>
  <c r="I14" i="1"/>
  <c r="I271" i="1" s="1"/>
  <c r="H241" i="1"/>
  <c r="H297" i="1" s="1"/>
  <c r="H235" i="1"/>
  <c r="H296" i="1" s="1"/>
  <c r="H226" i="1"/>
  <c r="H295" i="1" s="1"/>
  <c r="H220" i="1"/>
  <c r="H294" i="1" s="1"/>
  <c r="H214" i="1"/>
  <c r="H293" i="1" s="1"/>
  <c r="H209" i="1"/>
  <c r="H292" i="1" s="1"/>
  <c r="H202" i="1"/>
  <c r="H291" i="1" s="1"/>
  <c r="H191" i="1"/>
  <c r="H290" i="1" s="1"/>
  <c r="H182" i="1"/>
  <c r="H289" i="1" s="1"/>
  <c r="H175" i="1"/>
  <c r="H170" i="1"/>
  <c r="H287" i="1" s="1"/>
  <c r="H157" i="1"/>
  <c r="H285" i="1" s="1"/>
  <c r="H150" i="1"/>
  <c r="H284" i="1" s="1"/>
  <c r="H144" i="1"/>
  <c r="H281" i="1" s="1"/>
  <c r="H128" i="1"/>
  <c r="H280" i="1" s="1"/>
  <c r="H122" i="1"/>
  <c r="H279" i="1" s="1"/>
  <c r="H117" i="1"/>
  <c r="H278" i="1" s="1"/>
  <c r="H112" i="1"/>
  <c r="H277" i="1" s="1"/>
  <c r="H106" i="1"/>
  <c r="H276" i="1" s="1"/>
  <c r="H72" i="1"/>
  <c r="H275" i="1" s="1"/>
  <c r="H61" i="1"/>
  <c r="H54" i="1"/>
  <c r="H273" i="1" s="1"/>
  <c r="H30" i="1"/>
  <c r="H14" i="1"/>
  <c r="H271" i="1" s="1"/>
  <c r="K144" i="1"/>
  <c r="K281" i="1" s="1"/>
  <c r="G144" i="1"/>
  <c r="G281" i="1" s="1"/>
  <c r="F144" i="1"/>
  <c r="F281" i="1" s="1"/>
  <c r="K54" i="1"/>
  <c r="K273" i="1" s="1"/>
  <c r="G54" i="1"/>
  <c r="G273" i="1" s="1"/>
  <c r="F273" i="1"/>
  <c r="K241" i="1"/>
  <c r="K297" i="1" s="1"/>
  <c r="G241" i="1"/>
  <c r="G297" i="1" s="1"/>
  <c r="F241" i="1"/>
  <c r="F297" i="1" s="1"/>
  <c r="K235" i="1"/>
  <c r="K296" i="1" s="1"/>
  <c r="G235" i="1"/>
  <c r="G296" i="1" s="1"/>
  <c r="F235" i="1"/>
  <c r="F296" i="1" s="1"/>
  <c r="K226" i="1"/>
  <c r="K295" i="1" s="1"/>
  <c r="G226" i="1"/>
  <c r="G295" i="1" s="1"/>
  <c r="F226" i="1"/>
  <c r="F295" i="1" s="1"/>
  <c r="K220" i="1"/>
  <c r="K294" i="1" s="1"/>
  <c r="G220" i="1"/>
  <c r="G294" i="1" s="1"/>
  <c r="F220" i="1"/>
  <c r="F294" i="1" s="1"/>
  <c r="K214" i="1"/>
  <c r="K293" i="1" s="1"/>
  <c r="G214" i="1"/>
  <c r="G293" i="1" s="1"/>
  <c r="F214" i="1"/>
  <c r="F293" i="1" s="1"/>
  <c r="K209" i="1"/>
  <c r="K292" i="1" s="1"/>
  <c r="G209" i="1"/>
  <c r="G292" i="1" s="1"/>
  <c r="F209" i="1"/>
  <c r="F292" i="1" s="1"/>
  <c r="K202" i="1"/>
  <c r="K291" i="1" s="1"/>
  <c r="G202" i="1"/>
  <c r="G291" i="1" s="1"/>
  <c r="F202" i="1"/>
  <c r="F291" i="1" s="1"/>
  <c r="K191" i="1"/>
  <c r="K290" i="1" s="1"/>
  <c r="G191" i="1"/>
  <c r="G290" i="1" s="1"/>
  <c r="F191" i="1"/>
  <c r="F290" i="1" s="1"/>
  <c r="K182" i="1"/>
  <c r="K289" i="1" s="1"/>
  <c r="G182" i="1"/>
  <c r="G289" i="1" s="1"/>
  <c r="F182" i="1"/>
  <c r="F289" i="1" s="1"/>
  <c r="K175" i="1"/>
  <c r="G175" i="1"/>
  <c r="F175" i="1"/>
  <c r="K170" i="1"/>
  <c r="K287" i="1" s="1"/>
  <c r="G170" i="1"/>
  <c r="G287" i="1" s="1"/>
  <c r="F170" i="1"/>
  <c r="F287" i="1" s="1"/>
  <c r="K285" i="1"/>
  <c r="G285" i="1"/>
  <c r="F157" i="1"/>
  <c r="F285" i="1" s="1"/>
  <c r="K150" i="1"/>
  <c r="K284" i="1" s="1"/>
  <c r="G150" i="1"/>
  <c r="G284" i="1" s="1"/>
  <c r="F150" i="1"/>
  <c r="F284" i="1" s="1"/>
  <c r="K128" i="1"/>
  <c r="K280" i="1" s="1"/>
  <c r="G128" i="1"/>
  <c r="G280" i="1" s="1"/>
  <c r="F128" i="1"/>
  <c r="F280" i="1" s="1"/>
  <c r="K122" i="1"/>
  <c r="K279" i="1" s="1"/>
  <c r="G122" i="1"/>
  <c r="G279" i="1" s="1"/>
  <c r="F122" i="1"/>
  <c r="F279" i="1" s="1"/>
  <c r="K117" i="1"/>
  <c r="K278" i="1" s="1"/>
  <c r="G117" i="1"/>
  <c r="G278" i="1" s="1"/>
  <c r="F117" i="1"/>
  <c r="F278" i="1" s="1"/>
  <c r="K112" i="1"/>
  <c r="K277" i="1" s="1"/>
  <c r="G112" i="1"/>
  <c r="G277" i="1" s="1"/>
  <c r="F112" i="1"/>
  <c r="F277" i="1" s="1"/>
  <c r="K106" i="1"/>
  <c r="K276" i="1" s="1"/>
  <c r="G106" i="1"/>
  <c r="G276" i="1" s="1"/>
  <c r="F106" i="1"/>
  <c r="F276" i="1" s="1"/>
  <c r="K72" i="1"/>
  <c r="K275" i="1" s="1"/>
  <c r="G72" i="1"/>
  <c r="G275" i="1" s="1"/>
  <c r="F72" i="1"/>
  <c r="F275" i="1" s="1"/>
  <c r="K61" i="1"/>
  <c r="G61" i="1"/>
  <c r="F61" i="1"/>
  <c r="K30" i="1"/>
  <c r="G30" i="1"/>
  <c r="F30" i="1"/>
  <c r="K14" i="1"/>
  <c r="K271" i="1" s="1"/>
  <c r="G14" i="1"/>
  <c r="G271" i="1" s="1"/>
  <c r="F14" i="1"/>
  <c r="F271" i="1" s="1"/>
  <c r="G302" i="1" l="1"/>
  <c r="I302" i="1"/>
  <c r="J302" i="1"/>
  <c r="K302" i="1"/>
  <c r="H302" i="1"/>
  <c r="F302" i="1"/>
</calcChain>
</file>

<file path=xl/sharedStrings.xml><?xml version="1.0" encoding="utf-8"?>
<sst xmlns="http://schemas.openxmlformats.org/spreadsheetml/2006/main" count="931" uniqueCount="375">
  <si>
    <t>Permitting System</t>
  </si>
  <si>
    <t>City of Berkeley</t>
  </si>
  <si>
    <t xml:space="preserve"> June 29, 2024</t>
  </si>
  <si>
    <t>Appendix D:  Reporting Requirements</t>
  </si>
  <si>
    <t xml:space="preserve"> </t>
  </si>
  <si>
    <r>
      <t xml:space="preserve">
</t>
    </r>
    <r>
      <rPr>
        <b/>
        <sz val="12"/>
        <color theme="1"/>
        <rFont val="Arial"/>
        <family val="2"/>
      </rPr>
      <t>Instructions</t>
    </r>
    <r>
      <rPr>
        <sz val="12"/>
        <color theme="1"/>
        <rFont val="Arial"/>
        <family val="2"/>
      </rPr>
      <t xml:space="preserve">
Please use this form to indicate what reporting capabilities are provided by your proposed solution.  Place a "1" in the appropriate column for each report, indicating one of the following:
</t>
    </r>
    <r>
      <rPr>
        <b/>
        <sz val="12"/>
        <color theme="1"/>
        <rFont val="Arial"/>
        <family val="2"/>
      </rPr>
      <t>O</t>
    </r>
    <r>
      <rPr>
        <sz val="12"/>
        <color theme="1"/>
        <rFont val="Arial"/>
        <family val="2"/>
      </rPr>
      <t xml:space="preserve"> = </t>
    </r>
    <r>
      <rPr>
        <b/>
        <sz val="12"/>
        <color theme="1"/>
        <rFont val="Arial"/>
        <family val="2"/>
      </rPr>
      <t>Out-of-the-box:</t>
    </r>
    <r>
      <rPr>
        <sz val="12"/>
        <color theme="1"/>
        <rFont val="Arial"/>
        <family val="2"/>
      </rPr>
      <t xml:space="preserve">  provided with your commercial software
</t>
    </r>
    <r>
      <rPr>
        <b/>
        <sz val="12"/>
        <color theme="1"/>
        <rFont val="Arial"/>
        <family val="2"/>
      </rPr>
      <t xml:space="preserve">C </t>
    </r>
    <r>
      <rPr>
        <sz val="12"/>
        <color theme="1"/>
        <rFont val="Arial"/>
        <family val="2"/>
      </rPr>
      <t xml:space="preserve">= </t>
    </r>
    <r>
      <rPr>
        <b/>
        <sz val="12"/>
        <color theme="1"/>
        <rFont val="Arial"/>
        <family val="2"/>
      </rPr>
      <t>Configurable:</t>
    </r>
    <r>
      <rPr>
        <sz val="12"/>
        <color theme="1"/>
        <rFont val="Arial"/>
        <family val="2"/>
      </rPr>
      <t xml:space="preserve"> can be set up using the inherent functionality of the proposed software, 
requiring no programming skills.
</t>
    </r>
    <r>
      <rPr>
        <b/>
        <sz val="12"/>
        <color theme="1"/>
        <rFont val="Arial"/>
        <family val="2"/>
      </rPr>
      <t xml:space="preserve">P </t>
    </r>
    <r>
      <rPr>
        <sz val="12"/>
        <color theme="1"/>
        <rFont val="Arial"/>
        <family val="2"/>
      </rPr>
      <t xml:space="preserve">= </t>
    </r>
    <r>
      <rPr>
        <b/>
        <sz val="12"/>
        <color theme="1"/>
        <rFont val="Arial"/>
        <family val="2"/>
      </rPr>
      <t>Programmable:</t>
    </r>
    <r>
      <rPr>
        <sz val="12"/>
        <color theme="1"/>
        <rFont val="Arial"/>
        <family val="2"/>
      </rPr>
      <t xml:space="preserve">  can be provided with programming. 
</t>
    </r>
  </si>
  <si>
    <r>
      <t xml:space="preserve">
</t>
    </r>
    <r>
      <rPr>
        <b/>
        <sz val="12"/>
        <color theme="1"/>
        <rFont val="Arial"/>
        <family val="2"/>
      </rPr>
      <t>General Notes:</t>
    </r>
    <r>
      <rPr>
        <sz val="12"/>
        <color theme="1"/>
        <rFont val="Arial"/>
        <family val="2"/>
      </rPr>
      <t xml:space="preserve">
1.  All dollar columns shall be summed at the bottom.
2.  All reports should export to Excel.
3.  All reports shall print to PDFs
4.. Customizable sorting</t>
    </r>
  </si>
  <si>
    <t xml:space="preserve">  Out of the Box</t>
  </si>
  <si>
    <t xml:space="preserve">  Configurable</t>
  </si>
  <si>
    <t xml:space="preserve">  Programable</t>
  </si>
  <si>
    <t xml:space="preserve">  Third Party</t>
  </si>
  <si>
    <t xml:space="preserve">  Not Possible</t>
  </si>
  <si>
    <t xml:space="preserve">  Included in Cost</t>
  </si>
  <si>
    <t>Session 1:  Building &amp; Safety Plan Check</t>
  </si>
  <si>
    <t>Report Name</t>
  </si>
  <si>
    <t>Purpose of Report</t>
  </si>
  <si>
    <t>Minimum Key Report Data</t>
  </si>
  <si>
    <t>O</t>
  </si>
  <si>
    <t>C</t>
  </si>
  <si>
    <t>P</t>
  </si>
  <si>
    <t>T</t>
  </si>
  <si>
    <t>N</t>
  </si>
  <si>
    <t>$</t>
  </si>
  <si>
    <t>Comments</t>
  </si>
  <si>
    <t>Annual Volume</t>
  </si>
  <si>
    <t>Track Plan Check activity</t>
  </si>
  <si>
    <t>Perit Number, Address, Assigned to, Action by, Goal, Due Date, Status Dte, Lateness, Status</t>
  </si>
  <si>
    <t>Session 2: Building Inspection</t>
  </si>
  <si>
    <t>•  Daily Route sheet</t>
  </si>
  <si>
    <t xml:space="preserve">Maps out inspector ares, and the order. </t>
  </si>
  <si>
    <t>Inspector Area, Order of stops, Estimated Times, Inspection Type, Permit Number, Address, Request Comments, Status</t>
  </si>
  <si>
    <t>•  Inspection History</t>
  </si>
  <si>
    <t>Summary of inspections for projects.</t>
  </si>
  <si>
    <t>Pernit Status, Number, Address, SOW, Inspection Date, Status of Insp., Results, Inspector Name</t>
  </si>
  <si>
    <t>•  Inspection by:</t>
  </si>
  <si>
    <t>Inspection of various reports</t>
  </si>
  <si>
    <t>▪  Time: month, quarter, year</t>
  </si>
  <si>
    <t xml:space="preserve">Pernit Status, Number, Address, SOW, Inspection Date, Status of Insp., Results, Inspector Name,  </t>
  </si>
  <si>
    <t>▪  Type of Inspections</t>
  </si>
  <si>
    <t>Pernit Status, Number, Address, SOW, Inspection Date: Time: month, quarter, year, Status of Insp., Results, Inspector Name, Type of Inspections</t>
  </si>
  <si>
    <t>▪  By Area</t>
  </si>
  <si>
    <t>Pernit Status, Number, Address, SOW, Inspection Date, Status of Insp., Results, Inspector Name, By Area</t>
  </si>
  <si>
    <t>▪  By Inspector</t>
  </si>
  <si>
    <t>▪  By Project Type</t>
  </si>
  <si>
    <t>Pernit Status, Number, Address, SOW, Inspection Date, Status of Insp., Results, Inspector Name, By Project Type</t>
  </si>
  <si>
    <t>•  Certificate of Occupancy</t>
  </si>
  <si>
    <t>Printed Form</t>
  </si>
  <si>
    <t>Buiolding Permit Number, Address, APN, Building Owner, Owner Address, Occupancy Group, Type of Contructionm Use Classification, Automatic Spriner (YN) Design Occupancy Load, Edition of Building Code Issued, Permit Description, Special Conditionds and Limitations</t>
  </si>
  <si>
    <t>•  Temporary Certificate of Occupancy</t>
  </si>
  <si>
    <t>Buiolding Permit Number, Address, APN, Building Owner, Owner Address, Occupancy Group, Type of Contructionm Use Classification, Automatic Spriner (YN) Design Occupancy Load, Edition of Building Code Issued, Permit Description, Special Conditionds and Limitations, List of Outstanding Items, Completion Deadline Date</t>
  </si>
  <si>
    <t>• Permits Finaled</t>
  </si>
  <si>
    <t>List of finaled permits</t>
  </si>
  <si>
    <t>Permit Number, Phased Pernit YN, Address, Application Date, Issue Dte, Valuation, Floor Area, Description</t>
  </si>
  <si>
    <t>• Overdue Inspections</t>
  </si>
  <si>
    <t>Identify inspections that were not resulted on the scheduled date</t>
  </si>
  <si>
    <t>Permit Number, Address, Inspection Tyoe, Scheduled Insp date, Assigned Inspector</t>
  </si>
  <si>
    <t>• Building Permits Issued</t>
  </si>
  <si>
    <t>Inform inspectors of upcomming projects</t>
  </si>
  <si>
    <t>Session 3:  Building Permits To-Be Business Process  (Building &amp; Minor Permits)</t>
  </si>
  <si>
    <t>•  Payment Made by Type</t>
  </si>
  <si>
    <t>Track fees collected by permit type.</t>
  </si>
  <si>
    <t>Permit Number, Address, Permit Type, Fees Collected, Specific Fee Types</t>
  </si>
  <si>
    <t>•  Permit documents</t>
  </si>
  <si>
    <t>Which permits have new uploaded documents.</t>
  </si>
  <si>
    <t>Permit Number, Address, Permit Type, Document Type, File Name, Upload Date, Due Date</t>
  </si>
  <si>
    <t>•  Accounting reports</t>
  </si>
  <si>
    <t>Payments taken for different permits.</t>
  </si>
  <si>
    <t>Permit Number, Address, Payments, Type of Payment, Amount, Date</t>
  </si>
  <si>
    <t>•  Cashiering reports</t>
  </si>
  <si>
    <t>Data from past cashiering sessions</t>
  </si>
  <si>
    <t>•  MWELO Report</t>
  </si>
  <si>
    <t>Reporting landscaping water efficiency to the State</t>
  </si>
  <si>
    <t>Permits with landscaping 500 SF or greater, new or rehabilitated, SF of landscaping</t>
  </si>
  <si>
    <t>•  Permits Issued</t>
  </si>
  <si>
    <t>Inform Inspections of upcomming projects</t>
  </si>
  <si>
    <t>Permit Number, Address, Description, Permit Type, Valuation, Issuance Date</t>
  </si>
  <si>
    <t>•  Job Card</t>
  </si>
  <si>
    <t>Document for signatures as each inspection is completed</t>
  </si>
  <si>
    <t>Permit Number, Address, Description, Permit Type, Issuance Date</t>
  </si>
  <si>
    <t>•  Building Permit Application\</t>
  </si>
  <si>
    <t>Extract specific application information from online form</t>
  </si>
  <si>
    <t>Prmnit Number, Address, Description, Permit Type, Applciation Data</t>
  </si>
  <si>
    <t>•  Declarations Form</t>
  </si>
  <si>
    <t>Digital version of a requited document</t>
  </si>
  <si>
    <t>Permit Number, Address, Contractor License Information, Workers Comp information, Signatures</t>
  </si>
  <si>
    <t>•  Reports for statistics and analytics</t>
  </si>
  <si>
    <t>Perform statistical analysis of permits created, issued, rounds of plan checks for a certain permit, revision issued.</t>
  </si>
  <si>
    <t>Permit Numbers, Address, Description, Permit Type, Status , Related Records</t>
  </si>
  <si>
    <t>ADU Zoning Certificates</t>
  </si>
  <si>
    <t>Collect specific data</t>
  </si>
  <si>
    <t xml:space="preserve">Address, Permit Number, Decription, Assigned Staff, ADU, JADU, Square Footage, Hillside Overlay, etc. </t>
  </si>
  <si>
    <t>•  Land Use &amp; Housing Data</t>
  </si>
  <si>
    <t>Mandatory Annual Reporting, statistical analysis</t>
  </si>
  <si>
    <t>Project Number, Address, Decription, Assigned Staff, Number of Housing Units, Affordable Units by Type, Housing Type, Demolition SF, etc.</t>
  </si>
  <si>
    <t>• Building Permits Filters</t>
  </si>
  <si>
    <t>Track various reviews</t>
  </si>
  <si>
    <t>Project Number, Address, Decription, Due Date, Permit Number, Review Goal and Type, Applied and Routed Dates, Submittal Number, Workflow Task, Assigned Staff, Valuation, Description</t>
  </si>
  <si>
    <t>Dashboard</t>
  </si>
  <si>
    <t>Plan Check performance</t>
  </si>
  <si>
    <t>Permit Number, Address, Task, Assigned To, Action By, Plan Check Goal, Due Dste, Status Dste, Lateness, Status</t>
  </si>
  <si>
    <t>Queu</t>
  </si>
  <si>
    <t>Permits Checks Under review</t>
  </si>
  <si>
    <t>Due date, Permit Number, Plan Check Goal, Review Tyoe, Applied Dste, Routed Dte, Number of Submittals, Workflow Tasks, Assigned to, Address, Valuation, Description</t>
  </si>
  <si>
    <t>Large Permits</t>
  </si>
  <si>
    <t>Large valuation permits</t>
  </si>
  <si>
    <t>Permit Number, Phased YN, Address, Application Date, Permit Status, Status Date, Valuation, Description</t>
  </si>
  <si>
    <t>New Buildings</t>
  </si>
  <si>
    <t>Permits for new buildings</t>
  </si>
  <si>
    <t>Status, Status Date, Permit Number, Address, Valuation, Description, Building Square Footage, Building Type, # of Residential Units</t>
  </si>
  <si>
    <t>All Electric Buildings</t>
  </si>
  <si>
    <t>Permits for all electric buildings</t>
  </si>
  <si>
    <t>Parking Spaces</t>
  </si>
  <si>
    <t>Track number of parking spaces</t>
  </si>
  <si>
    <t>Status, Status Date, Permit Number, Address, Description, Building Type, # of parking spaces</t>
  </si>
  <si>
    <t>Track permit processing activity</t>
  </si>
  <si>
    <t>Permit Number, Address, Action by, Goal, Due Date, Task, Status Date, Lateness, Status</t>
  </si>
  <si>
    <t>ACFR</t>
  </si>
  <si>
    <t>Annual Building Permit Activity</t>
  </si>
  <si>
    <t>Permit number, Address, Application Date, Issued Date, Permit Categpry, Valuation, Description</t>
  </si>
  <si>
    <t>Session 4: Minor Permits</t>
  </si>
  <si>
    <t>Address in Building Permits above.</t>
  </si>
  <si>
    <t>Session 5: Solar, Energy Storage System, Electrical Vehicle Charging Permits</t>
  </si>
  <si>
    <t>•  Due Dates</t>
  </si>
  <si>
    <t>Track Due Dates</t>
  </si>
  <si>
    <t>Permit Number, Address, Description, Assigned To, System Size*</t>
  </si>
  <si>
    <t>•  Review Dates</t>
  </si>
  <si>
    <t>Track plan check performance</t>
  </si>
  <si>
    <t>Permit Number, Address, Description, Assigned To, System Size*, Review Completion Dates</t>
  </si>
  <si>
    <t>•  Permit Types</t>
  </si>
  <si>
    <t>Track types of permits submitted, state reporting</t>
  </si>
  <si>
    <t>Permit Number, Address, Description, Assigned To, System Size*, Permit Type</t>
  </si>
  <si>
    <t>•  Passed Due Plan Reports</t>
  </si>
  <si>
    <t>Track overdue plan checks</t>
  </si>
  <si>
    <t>Permit Number, Address, Description, Assigned To, System Size*, Due Date</t>
  </si>
  <si>
    <t>•  Missing Documents Required</t>
  </si>
  <si>
    <t>Track incomplete submittals</t>
  </si>
  <si>
    <t>Permit Number, Address, Description, Assigned To, System Size*, Missing Documents</t>
  </si>
  <si>
    <t>•  Occupancy Type</t>
  </si>
  <si>
    <t>Track permits by occupancy type</t>
  </si>
  <si>
    <t>Permit Number, Address, Description, Assigned To, System Size*, Occupancy Types</t>
  </si>
  <si>
    <t>•  Permit Status</t>
  </si>
  <si>
    <t>Track permits by status</t>
  </si>
  <si>
    <t>Permit Number, Address, Description, System Size*, Occupancy Types, Permit Status</t>
  </si>
  <si>
    <r>
      <rPr>
        <i/>
        <sz val="12"/>
        <color rgb="FF000000"/>
        <rFont val="Arial"/>
      </rPr>
      <t>*</t>
    </r>
    <r>
      <rPr>
        <b/>
        <i/>
        <sz val="12"/>
        <color rgb="FF000000"/>
        <rFont val="Arial"/>
      </rPr>
      <t>System Size</t>
    </r>
    <r>
      <rPr>
        <i/>
        <sz val="12"/>
        <color rgb="FF000000"/>
        <rFont val="Arial"/>
      </rPr>
      <t xml:space="preserve"> includes solar PV capacity, battery storage capacity, number of EV chargers, and type of EV Charger</t>
    </r>
  </si>
  <si>
    <t>Session 6: Fire Permit</t>
  </si>
  <si>
    <t>•  Inspector workload:</t>
  </si>
  <si>
    <t>▪  Inspections scheduled for certain time periods</t>
  </si>
  <si>
    <t>Track inspection workload per inspector</t>
  </si>
  <si>
    <t>Inspector name, Permit Number, Permit Address, Descriotuon, Date and Time</t>
  </si>
  <si>
    <t>▪  Completed inspections.</t>
  </si>
  <si>
    <t>Track completed inspecitons</t>
  </si>
  <si>
    <t>•  Due Dates: Fire Plan Review &amp; Building Plans.</t>
  </si>
  <si>
    <t>Track workload and progress</t>
  </si>
  <si>
    <t>Plan Reviewer Name, Permit Number, Address, Decription, Due Date</t>
  </si>
  <si>
    <t>•  Permit Status:</t>
  </si>
  <si>
    <t>▪  Under review permits</t>
  </si>
  <si>
    <t>Permit Number, Address, Decription, Status, Status Date</t>
  </si>
  <si>
    <t>▪  Ready to Issue</t>
  </si>
  <si>
    <t>▪  Issued</t>
  </si>
  <si>
    <t>▪  Expired</t>
  </si>
  <si>
    <t>▪  Correction List Issued</t>
  </si>
  <si>
    <t>▪  Finaled</t>
  </si>
  <si>
    <t>▪  City Cancelled</t>
  </si>
  <si>
    <t>▪  Pending Payment</t>
  </si>
  <si>
    <t>▪  Approved with conditions</t>
  </si>
  <si>
    <t>▪  Customer Closed</t>
  </si>
  <si>
    <t>▪  Received</t>
  </si>
  <si>
    <t>▪  Void</t>
  </si>
  <si>
    <t>•  Plans Examiner Workload</t>
  </si>
  <si>
    <t>Track different types of construction and operational  permits</t>
  </si>
  <si>
    <t>Permit by Type, Permit Number, Address, Decription, Status</t>
  </si>
  <si>
    <t>•  Parcel Conditions</t>
  </si>
  <si>
    <t>To identify specific easement conditions</t>
  </si>
  <si>
    <t>Address, APN, List of Conditions</t>
  </si>
  <si>
    <t>•  Rounds of Plan Check Reviews</t>
  </si>
  <si>
    <t>Identify projects that are complicated or require a lot of coaching</t>
  </si>
  <si>
    <t>Permit Number, Address, Decription, Owner, Applicant, Contact Information</t>
  </si>
  <si>
    <t>Permits Finaled</t>
  </si>
  <si>
    <t>Overdue Inspections</t>
  </si>
  <si>
    <t>Session 7: Pre-application &amp; Zoning Research Letter</t>
  </si>
  <si>
    <t>•  Zoning Research Letter</t>
  </si>
  <si>
    <t xml:space="preserve">Track how many have been written. </t>
  </si>
  <si>
    <t>Project Type</t>
  </si>
  <si>
    <t>Prelininary Applications</t>
  </si>
  <si>
    <t>Differentiate by type.</t>
  </si>
  <si>
    <t>By Types: Senate and Assmply Bill Number, Land Use housing Data: number of units, residential, type of unit, number and type  of income restricted and affordable units, etc.</t>
  </si>
  <si>
    <t>Session 8: Zoning Certificate Business License and Zoning Certificate Home Occupation</t>
  </si>
  <si>
    <t>•  Documents submitted produce report.</t>
  </si>
  <si>
    <t>To see open projects status and statistical analysis</t>
  </si>
  <si>
    <t>Address, Permit Number, Decription, Assigned Staff, Status, Pending vs Issued</t>
  </si>
  <si>
    <t>Session 9: Zoning Certificate for Short Term Rental</t>
  </si>
  <si>
    <t>Application</t>
  </si>
  <si>
    <t>How many received, issued, status, pending, denied</t>
  </si>
  <si>
    <t>Session 10: Zoning Certificates for ADUs, Building Permit Application, Miscellaneous, &amp; Transfer</t>
  </si>
  <si>
    <t>Session 11: Zoning Permits (Administrative Use Permits, Use Permit, Variance)</t>
  </si>
  <si>
    <t>•  Active Projects report</t>
  </si>
  <si>
    <t>Identify projects that are under review, and status</t>
  </si>
  <si>
    <t>Project Number, Address, Decription, Status, Staff Assigned, Hearing Dste</t>
  </si>
  <si>
    <t>•  Projects with Open Appeal Period</t>
  </si>
  <si>
    <t>Projects in Open Appeal period, internal and external</t>
  </si>
  <si>
    <t>Project Number, Address, Decription, Status, Posting Date, Appeal Period,  Staff Assigned</t>
  </si>
  <si>
    <t>•  New or Pending Applications</t>
  </si>
  <si>
    <t>Identify new projects, statistical analysis</t>
  </si>
  <si>
    <t>Project Number, Address, Decription, Status, Land Use &amp; Housing Data,  Staff Assigned</t>
  </si>
  <si>
    <t>•  30 Day Completeness Reviews Due</t>
  </si>
  <si>
    <t>Identify staff workload and state mandated deadlines</t>
  </si>
  <si>
    <t>Project Number, Address, Decription, Submittal/Resubmittal Date, Due Date,  Staff Assigned</t>
  </si>
  <si>
    <t>•  Open Staff Assignments</t>
  </si>
  <si>
    <t>•  Permit Processing Reviews Due</t>
  </si>
  <si>
    <t>•  Reports/Staff Analysis submitted for Review</t>
  </si>
  <si>
    <t>Identify principal workload</t>
  </si>
  <si>
    <t>Project Number, Address, Description, Staff Assigned, Hearing Dates, Due Dste</t>
  </si>
  <si>
    <t>•  Appealed Projects</t>
  </si>
  <si>
    <t>Identify projects that have been apprealed, status</t>
  </si>
  <si>
    <t>Project Number, Address, Decription, Submittal/Resubmittal Date, Due Date,  Staff Assigned, Appealed Date, Hearing Date, Internal Deadline</t>
  </si>
  <si>
    <t>•  Approved and Issued Projects</t>
  </si>
  <si>
    <t>Statistical analysis</t>
  </si>
  <si>
    <t>•  Cost Recovery (time spent on a project)</t>
  </si>
  <si>
    <t>Track hours spent on projects, and invoice applicants</t>
  </si>
  <si>
    <t>Project Number, Address, Decription, Status, Hours Spent, Assigned Staff</t>
  </si>
  <si>
    <t>•  Conditions of Approval</t>
  </si>
  <si>
    <t>Track compliance with conditions</t>
  </si>
  <si>
    <t>Project Number, Address, Decription, Assigned Staff, Conditions</t>
  </si>
  <si>
    <t>•  Pre/Post Occupancy Compliance &amp; Monitoring</t>
  </si>
  <si>
    <t>Track and result requirements</t>
  </si>
  <si>
    <t>Project Number, Address, Decription, Assigned Staff, Conditions, Due Dates</t>
  </si>
  <si>
    <t>Session 15: Public Works - P Permits</t>
  </si>
  <si>
    <t>Session 16: Permitting Fees, Payments, and Refunds</t>
  </si>
  <si>
    <t>•  Cashier Summary/Cashier Session Report</t>
  </si>
  <si>
    <t>Identify all transactions within a cashier session, Include Building, Zoning, Public Works, Fire, Toxics</t>
  </si>
  <si>
    <t>Cashier Name, Permit Number, Transactions, Fees Paid, Date, Amount Collected, Amount Applied</t>
  </si>
  <si>
    <t>•  Online Public User Payment Transactions</t>
  </si>
  <si>
    <t>Payments paid online for Building, Zoning, Fire, Public Works, Toxics</t>
  </si>
  <si>
    <t>Cashier Name, Permit Number, Transactions, Fees Paid, Date, Amount Collected, Amount Applied, Payer's Information, Applicant Name, Payment Type</t>
  </si>
  <si>
    <t xml:space="preserve">  •  Permits with Refunds</t>
  </si>
  <si>
    <t>Identifuy all permits with refunds for a specified period</t>
  </si>
  <si>
    <t xml:space="preserve">Permit Number, Fees Paid, Dsate, Amount Collected, Amount Refunded, Refund Requestor Information, Cashier Name </t>
  </si>
  <si>
    <t xml:space="preserve">  •  Permits woth Returned Checks/Chargebacks</t>
  </si>
  <si>
    <t>Identifuy all permits with return check/chargback for a specified period</t>
  </si>
  <si>
    <t>Permit Number, Fees Paid, Date, Amount Collected, Amount Returned, Payor Information, Cashier Name, Payment Method</t>
  </si>
  <si>
    <t>Session 17: Public Works - U Permits</t>
  </si>
  <si>
    <t>•  Payment types:</t>
  </si>
  <si>
    <t>Determine if all necessary fees have been added under a specific permit</t>
  </si>
  <si>
    <t>Date, Fee, Subject of Fee</t>
  </si>
  <si>
    <t>▪  Permit documents</t>
  </si>
  <si>
    <t>Identify confirmation of utility doing work.</t>
  </si>
  <si>
    <t>Permit Application, Contact Applicant, Contractor infromation</t>
  </si>
  <si>
    <t>▪  Accounting reports</t>
  </si>
  <si>
    <t>▪  Statistics and analytics</t>
  </si>
  <si>
    <t>Session 18: Landmark Initiation &amp; Designation</t>
  </si>
  <si>
    <t>None.</t>
  </si>
  <si>
    <t>Session 19:  Business License Interaction</t>
  </si>
  <si>
    <t>This will be a future system.</t>
  </si>
  <si>
    <t>Session 20: Landmark Preservation (LP) Structural Alteration</t>
  </si>
  <si>
    <t>Active Projects</t>
  </si>
  <si>
    <t xml:space="preserve">•  Completed Projects </t>
  </si>
  <si>
    <t>Within a certain time period, or keywords</t>
  </si>
  <si>
    <t>•   Region of the City</t>
  </si>
  <si>
    <t>Session 21: Cashiering &amp; Reconciliation</t>
  </si>
  <si>
    <t>•  Credit Card Summary</t>
  </si>
  <si>
    <t>Identify credit card trasactions within a cashier session</t>
  </si>
  <si>
    <t>•  Payments processed for interfaced software</t>
  </si>
  <si>
    <t>Identify payments processed for software interfaced with permitting</t>
  </si>
  <si>
    <t>Online Public User Payment Transactions</t>
  </si>
  <si>
    <t>Daily Cashier Summary</t>
  </si>
  <si>
    <t>Identify all ttransactionsm for specific cashier</t>
  </si>
  <si>
    <t>Session 22: Landmark Preservation (LP) Mills Act</t>
  </si>
  <si>
    <t>•  Summary</t>
  </si>
  <si>
    <t>Track applications and program participants.</t>
  </si>
  <si>
    <t>Propertiers, Owner Information, Applicant information</t>
  </si>
  <si>
    <t>•  Number of applications</t>
  </si>
  <si>
    <t>Annual summar applications and participants.</t>
  </si>
  <si>
    <t>Quantitiy of applications</t>
  </si>
  <si>
    <t>•  Work plan and budget information from applicants</t>
  </si>
  <si>
    <t>Track spreadsheet attachments</t>
  </si>
  <si>
    <t>Attachments, Data in attachments: activities, costs</t>
  </si>
  <si>
    <t>•  Inspection Report</t>
  </si>
  <si>
    <t>Track inspections and cojmpliance</t>
  </si>
  <si>
    <t xml:space="preserve">Property, Results, Date, </t>
  </si>
  <si>
    <t>•  Individual Report by property</t>
  </si>
  <si>
    <t>Tracking compliance</t>
  </si>
  <si>
    <t>•  By Program</t>
  </si>
  <si>
    <t>Participants, compliance, financial data (tax information)</t>
  </si>
  <si>
    <t xml:space="preserve">Propertiers, Owner Information, Applicant information, Attachments, Data in attachments: activities, costs; Property, Results, Date, </t>
  </si>
  <si>
    <t>•  Tax Reductions Report</t>
  </si>
  <si>
    <t>Tracking finanial data</t>
  </si>
  <si>
    <t xml:space="preserve">Tax assessment, Financial, </t>
  </si>
  <si>
    <t>Session 23: Oversized Load Permit</t>
  </si>
  <si>
    <t>•  Number of Oversize Load Permits Applied/Year</t>
  </si>
  <si>
    <t>•  Number of Oversize Load Permits Issued/Year</t>
  </si>
  <si>
    <t>•  Destination of Oversized Vehicles (Route infor.)</t>
  </si>
  <si>
    <t>Session 24: Public Works Plan Check</t>
  </si>
  <si>
    <t>Future reporting requirements to be assessed.</t>
  </si>
  <si>
    <t>Session 25: Public Works - Inspections</t>
  </si>
  <si>
    <t>Session 26:  Soils Boring, Monitoring Well, UST Modification Permit</t>
  </si>
  <si>
    <t>Soil Boring Permits</t>
  </si>
  <si>
    <t>Identify issued permits for soil boring</t>
  </si>
  <si>
    <t>Applicant, Permit Number, Location, Fees, Number of Borings, Geologis, Consultant, Contractor, Expiration Date, Inspector</t>
  </si>
  <si>
    <t>Monitoring Wells</t>
  </si>
  <si>
    <t>Idnenitfy issued permits for montioring wells</t>
  </si>
  <si>
    <t>Applicant, Permit Number, Location, Fees, Number of Monitoring Welss, Geologist, Consultant, Contractor, Expiration Date, Completion Report Submitted YN, Inspector,</t>
  </si>
  <si>
    <t>Underground Storage Tank Modifications</t>
  </si>
  <si>
    <t>Identify issued permits for iunderground storage tanks</t>
  </si>
  <si>
    <t>Applicant, Permit Number, Address, Modification Type, Fees, Contractor, Expiration Date, Inspector</t>
  </si>
  <si>
    <t>Sessions 27 &amp; 28: Design Review (DR) Committee Level</t>
  </si>
  <si>
    <t>• Project Status</t>
  </si>
  <si>
    <t>Track the project status.</t>
  </si>
  <si>
    <t>Project Number, Address, Decription, Status, Posting Date, Hearing Date, Appeal Period, Staff Assigned. Related Zoning Permit</t>
  </si>
  <si>
    <t>• Design Review Filters</t>
  </si>
  <si>
    <t>Tracking the overall design review permitss, under review</t>
  </si>
  <si>
    <t>Track design review that has been assigned</t>
  </si>
  <si>
    <t>Project Number, Address, Decription, Due Date, Permit Number, Review Goal and Type, Applied and Routed Dstes, Submittal Number, Workflow Task, Assigned Staff, Valuation, Description</t>
  </si>
  <si>
    <t>• Ad hoc reports</t>
  </si>
  <si>
    <t>Reports staff can build themselves.</t>
  </si>
  <si>
    <t>• Active Projects</t>
  </si>
  <si>
    <t>Session 29: Private Sewer Lateral (PSL) Permit / Certification</t>
  </si>
  <si>
    <t xml:space="preserve">•  Enforcing Report: </t>
  </si>
  <si>
    <t>FUND$ export to Excel, contains next enforcing dates of future enforcing records</t>
  </si>
  <si>
    <t>•  Report from County of title transfers</t>
  </si>
  <si>
    <t>Session 30: Funds Land Management to Accela (Interaction workshop)</t>
  </si>
  <si>
    <t>Session 31: Private Sewer Lateral (PSL) Permit / Certification</t>
  </si>
  <si>
    <t>Session 32: SB 35 Pre-App and Full-App</t>
  </si>
  <si>
    <t>• Preliminary Applications</t>
  </si>
  <si>
    <t>Track how many applications are received</t>
  </si>
  <si>
    <t xml:space="preserve">Applicants, Nunber of applications by time period, </t>
  </si>
  <si>
    <t>• Status</t>
  </si>
  <si>
    <t>Track the status</t>
  </si>
  <si>
    <t xml:space="preserve">Application made, complete or complete, incomplete, corrections required, SB 35 Eligibility </t>
  </si>
  <si>
    <t>• Tribal Consultation</t>
  </si>
  <si>
    <t>Track whether the application had a tribal consultation or not.</t>
  </si>
  <si>
    <t>List of applications that went through tribal consultion, start and end date,</t>
  </si>
  <si>
    <t>• Full Application</t>
  </si>
  <si>
    <t>Trackin applications received.</t>
  </si>
  <si>
    <t>Number of units, residential, type of unit, number and type of income restricted and affordable units.</t>
  </si>
  <si>
    <t>Compliance or Non-conmpliant, approved</t>
  </si>
  <si>
    <t>Additional Reports: Equipment Installations (Building &amp; Minor Permits) - OESD Reporting and BAAQMD Compliance</t>
  </si>
  <si>
    <t>•  Permits Issued with Water Heaters</t>
  </si>
  <si>
    <t>Track number of Water Heaters and Type</t>
  </si>
  <si>
    <t>Permit Number, Address, Description, Permit Type, Building Type, Issuance Date, # of Water Heaters, Water Heater Type, Water Heater Fuel Source, System Size</t>
  </si>
  <si>
    <t>•  Permits Issued with HVACs</t>
  </si>
  <si>
    <t>Track number of HVACs and Type</t>
  </si>
  <si>
    <t>Permit Number, Address, Description, Permit Type, Building Type, Issuance Date, # of HVACs, HVAC Type, HVAC Fuel Source, System Size</t>
  </si>
  <si>
    <t>REPORTS  SUMMARY</t>
  </si>
  <si>
    <t>Session 1:   Building &amp; Safety Plan Check</t>
  </si>
  <si>
    <t>Session 2:   Building Inspection</t>
  </si>
  <si>
    <t xml:space="preserve">Session 3:   Building Permits To-Be Business Process </t>
  </si>
  <si>
    <t>Session 4:   Minor Permits   (Combined with Building Permits)</t>
  </si>
  <si>
    <t>Session 5:   Solar Permits</t>
  </si>
  <si>
    <t>Session 6:   Fire Permit</t>
  </si>
  <si>
    <t>Session 7:   Pre-application &amp; Zoning Research Letter</t>
  </si>
  <si>
    <t>Session 8:   Zoning Certif. Bus. Lic. &amp; Zoning Certif. Home Occupation</t>
  </si>
  <si>
    <t>Session 9:   Short Term Rental</t>
  </si>
  <si>
    <t>Session 10: ADUs, Building Permit Application, Misc., &amp; Transfer</t>
  </si>
  <si>
    <t>Session 11: Zoning Permits (Admin. Use Permits, Use Permit, Variance)</t>
  </si>
  <si>
    <t>Session 12:  Land Management (interactions - no reports)</t>
  </si>
  <si>
    <t>Session 14: Use Permits (Reports combined in Session 11)</t>
  </si>
  <si>
    <t>Session 19:  Business license (Interaction - no reports)</t>
  </si>
  <si>
    <t>Session 26:  Soils Boring Permit</t>
  </si>
  <si>
    <t>Session 27 &amp; 28: Design Review (DR) Committee Level</t>
  </si>
  <si>
    <t>Session 30: Funds Land Management to Accela</t>
  </si>
  <si>
    <t>Additional Reports: Equipment Installations</t>
  </si>
  <si>
    <t>SUMMARY SCORES</t>
  </si>
  <si>
    <t>Clariti's platform includes robust ad-hoc reporting tools that allow users to create custom reports on any data element. Users can utilize a drag-and-drop interface to select data fields, apply filters, and generate reports without needing technical expertise. Report writers have access to all fields that their user/profile has access to, and report readers can only see data contained in fields that they have access to. This flexibility ensures immediate access to critical information and supports on-the-fly data analysis across all modules.</t>
  </si>
  <si>
    <t>Clariti allows for the creation of highly configurable reports and dashboards tailored to different user roles and requirements. Utilizing Clariti's robust analytics capabilities, users can drag-and-drop components to visualize geospatial data, Key Performance Indicators (KPIs), and other analytics. Configuration is achieved through a user-friendly interface that supports embedding charts, and real-time data feeds, enabling dynamic and relevant insights for each user group</t>
  </si>
  <si>
    <t>Clariti, offers comprehensive built-in reporting capabilities.  The system is designed to provide robust reporting functionality, allowing users to generate detailed reports with ease and drill into specific data points for deeper analysis. Reports support dynamic report parameters, which can be automatically passed to generate real-time, up-to-date reports. This ensures that users have access to the most current data without manual input. Clariti allows users to drill into detailed data by clicking on specific data points, such as permit or application numbers, within the reports. This interactive functionality provides immediate access to detailed information without navigating away from the report. Clicking on a permit or application number opens the detailed record within the system, displaying all related information, including statuses, associated documents, and historical data. This allows users to drill down into reports and access data and additional information within records with ease</t>
  </si>
  <si>
    <t xml:space="preserve">Clariti provides a map and route schedule for inspectors. </t>
  </si>
  <si>
    <t xml:space="preserve">See Above </t>
  </si>
  <si>
    <t xml:space="preserve">Clariti provides a Document and Letter generator that is supplied with templates and can pick up the value of fields from the system and then produce those documents for electronic delivery or printing. </t>
  </si>
  <si>
    <t xml:space="preserve">See above </t>
  </si>
  <si>
    <t xml:space="preserve">See above plus there are system notifications and emails that can be delivered from the system. </t>
  </si>
  <si>
    <t xml:space="preserve">See Above - Staff will be trained to be able to take exssting reports and to copy and modify. </t>
  </si>
  <si>
    <t xml:space="preserve">See Above   </t>
  </si>
  <si>
    <t>See Above</t>
  </si>
  <si>
    <t>Clariti's platform includes robust ad-hoc reporting tools that allow users to create custom reports on any data element. Users can utilize a drag-and-drop interface to select data fields, apply filters, and generate reports without needing technical expertise. Report writers have access to all fields that their user/profile has access to, and report readers can only see data contained in fields that they have access to. This flexibility ensures immediate access to critical information and supports on-the-fly data analysis across all modules</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</si>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</sst>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2"/>
      <color theme="1"/>
      <name val="Arial"/>
      <family val="2"/>
    </font>
    <font>
      <sz val="14"/>
      <color theme="1"/>
      <name val="Arial"/>
      <family val="2"/>
    </font>
    <font>
      <b/>
      <sz val="12"/>
      <color theme="1"/>
      <name val="Arial"/>
      <family val="2"/>
    </font>
    <font>
      <b/>
      <sz val="12"/>
      <color theme="0" tint="-4.9989318521683403E-2"/>
      <name val="Arial"/>
      <family val="2"/>
    </font>
    <font>
      <b/>
      <sz val="12"/>
      <color theme="0"/>
      <name val="Arial"/>
      <family val="2"/>
    </font>
    <font>
      <b/>
      <sz val="16"/>
      <color theme="1"/>
      <name val="Arial"/>
      <family val="2"/>
    </font>
    <font>
      <sz val="16"/>
      <color theme="1"/>
      <name val="Arial"/>
      <family val="2"/>
    </font>
    <font>
      <sz val="11"/>
      <color theme="1"/>
      <name val="Arial"/>
      <family val="2"/>
    </font>
    <font>
      <sz val="12"/>
      <name val="Arial"/>
      <family val="2"/>
    </font>
    <font>
      <b/>
      <sz val="12"/>
      <name val="Arial"/>
      <family val="2"/>
    </font>
    <font>
      <sz val="11"/>
      <name val="Calibri"/>
      <family val="2"/>
      <scheme val="minor"/>
    </font>
    <font>
      <sz val="11"/>
      <name val="Arial"/>
      <family val="2"/>
    </font>
    <font>
      <sz val="14"/>
      <name val="Arial"/>
      <family val="2"/>
    </font>
    <font>
      <b/>
      <sz val="14"/>
      <color theme="8"/>
      <name val="Calibri"/>
      <family val="2"/>
      <scheme val="minor"/>
    </font>
    <font>
      <b/>
      <sz val="12"/>
      <color rgb="FFC00000"/>
      <name val="Arial"/>
      <family val="2"/>
    </font>
    <font>
      <b/>
      <sz val="14"/>
      <color theme="1"/>
      <name val="Arial"/>
      <family val="2"/>
    </font>
    <font>
      <i/>
      <sz val="12"/>
      <color rgb="FF000000"/>
      <name val="Arial"/>
    </font>
    <font>
      <b/>
      <i/>
      <sz val="12"/>
      <color rgb="FF000000"/>
      <name val="Arial"/>
    </font>
    <font>
      <sz val="12"/>
      <name val="Arial"/>
    </font>
    <font>
      <sz val="11"/>
      <color theme="1"/>
      <name val="Aptos Narrow"/>
      <family val="2"/>
    </font>
  </fonts>
  <fills count="12">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bgColor indexed="64"/>
      </patternFill>
    </fill>
    <fill>
      <patternFill patternType="solid">
        <fgColor theme="3"/>
        <bgColor indexed="64"/>
      </patternFill>
    </fill>
    <fill>
      <patternFill patternType="solid">
        <fgColor theme="8"/>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C00000"/>
        <bgColor indexed="64"/>
      </patternFill>
    </fill>
    <fill>
      <patternFill patternType="solid">
        <fgColor theme="8" tint="0.39997558519241921"/>
        <bgColor indexed="64"/>
      </patternFill>
    </fill>
  </fills>
  <borders count="3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4"/>
      </left>
      <right style="thin">
        <color theme="8"/>
      </right>
      <top style="thin">
        <color theme="4"/>
      </top>
      <bottom style="thin">
        <color theme="8"/>
      </bottom>
      <diagonal/>
    </border>
    <border>
      <left style="thin">
        <color theme="8"/>
      </left>
      <right style="thin">
        <color theme="8"/>
      </right>
      <top style="thin">
        <color theme="4"/>
      </top>
      <bottom style="thin">
        <color theme="8"/>
      </bottom>
      <diagonal/>
    </border>
    <border>
      <left style="thin">
        <color theme="8"/>
      </left>
      <right style="thin">
        <color theme="4"/>
      </right>
      <top style="thin">
        <color theme="4"/>
      </top>
      <bottom style="thin">
        <color theme="8"/>
      </bottom>
      <diagonal/>
    </border>
    <border>
      <left/>
      <right/>
      <top style="thin">
        <color indexed="64"/>
      </top>
      <bottom/>
      <diagonal/>
    </border>
    <border>
      <left style="medium">
        <color theme="4"/>
      </left>
      <right style="thin">
        <color theme="0" tint="-0.34998626667073579"/>
      </right>
      <top style="medium">
        <color theme="4"/>
      </top>
      <bottom style="thin">
        <color theme="0" tint="-0.34998626667073579"/>
      </bottom>
      <diagonal/>
    </border>
    <border>
      <left style="thin">
        <color theme="0" tint="-0.34998626667073579"/>
      </left>
      <right style="thin">
        <color theme="0" tint="-0.34998626667073579"/>
      </right>
      <top style="medium">
        <color theme="4"/>
      </top>
      <bottom style="thin">
        <color theme="0" tint="-0.34998626667073579"/>
      </bottom>
      <diagonal/>
    </border>
    <border>
      <left style="thin">
        <color theme="0" tint="-0.34998626667073579"/>
      </left>
      <right style="medium">
        <color theme="4"/>
      </right>
      <top style="medium">
        <color theme="4"/>
      </top>
      <bottom style="thin">
        <color theme="0" tint="-0.34998626667073579"/>
      </bottom>
      <diagonal/>
    </border>
    <border>
      <left style="medium">
        <color theme="4"/>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theme="4"/>
      </right>
      <top style="thin">
        <color theme="0" tint="-0.34998626667073579"/>
      </top>
      <bottom style="thin">
        <color theme="0" tint="-0.34998626667073579"/>
      </bottom>
      <diagonal/>
    </border>
    <border>
      <left style="medium">
        <color theme="4"/>
      </left>
      <right style="thin">
        <color theme="0" tint="-0.34998626667073579"/>
      </right>
      <top style="thin">
        <color theme="0" tint="-0.34998626667073579"/>
      </top>
      <bottom style="medium">
        <color theme="4"/>
      </bottom>
      <diagonal/>
    </border>
    <border>
      <left style="thin">
        <color theme="0" tint="-0.34998626667073579"/>
      </left>
      <right style="thin">
        <color theme="0" tint="-0.34998626667073579"/>
      </right>
      <top style="thin">
        <color theme="0" tint="-0.34998626667073579"/>
      </top>
      <bottom style="medium">
        <color theme="4"/>
      </bottom>
      <diagonal/>
    </border>
    <border>
      <left style="thin">
        <color theme="0" tint="-0.34998626667073579"/>
      </left>
      <right style="medium">
        <color theme="4"/>
      </right>
      <top style="thin">
        <color theme="0" tint="-0.34998626667073579"/>
      </top>
      <bottom style="medium">
        <color theme="4"/>
      </bottom>
      <diagonal/>
    </border>
    <border>
      <left/>
      <right/>
      <top/>
      <bottom style="thin">
        <color indexed="64"/>
      </bottom>
      <diagonal/>
    </border>
    <border>
      <left style="medium">
        <color theme="4"/>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medium">
        <color theme="4"/>
      </right>
      <top/>
      <bottom style="thin">
        <color theme="0" tint="-0.34998626667073579"/>
      </bottom>
      <diagonal/>
    </border>
    <border>
      <left/>
      <right/>
      <top/>
      <bottom style="medium">
        <color theme="4"/>
      </bottom>
      <diagonal/>
    </border>
    <border>
      <left style="medium">
        <color theme="4"/>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theme="4"/>
      </right>
      <top style="thin">
        <color theme="0" tint="-0.34998626667073579"/>
      </top>
      <bottom/>
      <diagonal/>
    </border>
    <border>
      <left/>
      <right/>
      <top/>
      <bottom style="thin">
        <color theme="0"/>
      </bottom>
      <diagonal/>
    </border>
    <border>
      <left/>
      <right/>
      <top style="thin">
        <color theme="0"/>
      </top>
      <bottom style="thin">
        <color theme="0"/>
      </bottom>
      <diagonal/>
    </border>
    <border>
      <left/>
      <right/>
      <top style="thin">
        <color theme="0"/>
      </top>
      <bottom/>
      <diagonal/>
    </border>
    <border>
      <left style="thin">
        <color theme="8"/>
      </left>
      <right style="thin">
        <color theme="8"/>
      </right>
      <top style="thin">
        <color theme="8"/>
      </top>
      <bottom style="thin">
        <color theme="8"/>
      </bottom>
      <diagonal/>
    </border>
    <border>
      <left style="medium">
        <color theme="4"/>
      </left>
      <right/>
      <top style="thin">
        <color theme="0" tint="-0.34998626667073579"/>
      </top>
      <bottom style="thin">
        <color theme="0" tint="-0.34998626667073579"/>
      </bottom>
      <diagonal/>
    </border>
    <border>
      <left style="medium">
        <color theme="4"/>
      </left>
      <right/>
      <top style="thin">
        <color theme="0" tint="-0.34998626667073579"/>
      </top>
      <bottom/>
      <diagonal/>
    </border>
    <border>
      <left style="medium">
        <color theme="4"/>
      </left>
      <right/>
      <top style="medium">
        <color theme="4"/>
      </top>
      <bottom style="thin">
        <color theme="0" tint="-0.34998626667073579"/>
      </bottom>
      <diagonal/>
    </border>
    <border>
      <left style="medium">
        <color theme="4"/>
      </left>
      <right/>
      <top style="thin">
        <color theme="0" tint="-0.34998626667073579"/>
      </top>
      <bottom style="medium">
        <color theme="4"/>
      </bottom>
      <diagonal/>
    </border>
    <border>
      <left style="thin">
        <color indexed="64"/>
      </left>
      <right style="thin">
        <color theme="0" tint="-0.34998626667073579"/>
      </right>
      <top style="thin">
        <color theme="0" tint="-0.34998626667073579"/>
      </top>
      <bottom style="thin">
        <color theme="0" tint="-0.34998626667073579"/>
      </bottom>
      <diagonal/>
    </border>
    <border>
      <left style="medium">
        <color theme="8"/>
      </left>
      <right style="thin">
        <color theme="0" tint="-0.34998626667073579"/>
      </right>
      <top style="thin">
        <color theme="0" tint="-0.34998626667073579"/>
      </top>
      <bottom style="medium">
        <color theme="8"/>
      </bottom>
      <diagonal/>
    </border>
    <border>
      <left style="thin">
        <color theme="8" tint="0.59996337778862885"/>
      </left>
      <right style="medium">
        <color rgb="FF002060"/>
      </right>
      <top style="thin">
        <color theme="8" tint="0.59996337778862885"/>
      </top>
      <bottom style="thin">
        <color theme="8" tint="0.59996337778862885"/>
      </bottom>
      <diagonal/>
    </border>
  </borders>
  <cellStyleXfs count="1">
    <xf numFmtId="0" fontId="0" fillId="0" borderId="0"/>
  </cellStyleXfs>
  <cellXfs count="181">
    <xf numFmtId="0" fontId="0" fillId="0" borderId="0" xfId="0"/>
    <xf numFmtId="0" fontId="1" fillId="0" borderId="0" xfId="0" applyFont="1"/>
    <xf numFmtId="0" fontId="1" fillId="4" borderId="0" xfId="0" applyFont="1" applyFill="1"/>
    <xf numFmtId="0" fontId="1" fillId="4" borderId="0" xfId="0" applyFont="1" applyFill="1" applyAlignment="1">
      <alignment wrapText="1"/>
    </xf>
    <xf numFmtId="0" fontId="1" fillId="4" borderId="0" xfId="0" applyFont="1" applyFill="1" applyAlignment="1">
      <alignment horizontal="left" indent="1"/>
    </xf>
    <xf numFmtId="0" fontId="0" fillId="0" borderId="0" xfId="0" applyAlignment="1">
      <alignment wrapText="1"/>
    </xf>
    <xf numFmtId="0" fontId="1" fillId="4" borderId="0" xfId="0" applyFont="1" applyFill="1" applyAlignment="1">
      <alignment horizontal="left" wrapText="1" indent="1"/>
    </xf>
    <xf numFmtId="0" fontId="2" fillId="4" borderId="0" xfId="0" applyFont="1" applyFill="1" applyAlignment="1">
      <alignment textRotation="90"/>
    </xf>
    <xf numFmtId="0" fontId="0" fillId="4" borderId="0" xfId="0" applyFill="1"/>
    <xf numFmtId="0" fontId="6" fillId="4" borderId="0" xfId="0" applyFont="1" applyFill="1"/>
    <xf numFmtId="0" fontId="0" fillId="4" borderId="0" xfId="0" applyFill="1" applyAlignment="1">
      <alignment wrapText="1"/>
    </xf>
    <xf numFmtId="0" fontId="2" fillId="4" borderId="0" xfId="0" applyFont="1" applyFill="1" applyAlignment="1">
      <alignment horizontal="left" indent="1"/>
    </xf>
    <xf numFmtId="0" fontId="8" fillId="4" borderId="0" xfId="0" applyFont="1" applyFill="1"/>
    <xf numFmtId="0" fontId="6" fillId="4" borderId="0" xfId="0" applyFont="1" applyFill="1" applyAlignment="1">
      <alignment vertical="center"/>
    </xf>
    <xf numFmtId="0" fontId="1" fillId="4" borderId="1" xfId="0" applyFont="1" applyFill="1" applyBorder="1" applyAlignment="1">
      <alignment horizontal="left" wrapText="1" indent="1"/>
    </xf>
    <xf numFmtId="0" fontId="1" fillId="4" borderId="0" xfId="0" applyFont="1" applyFill="1" applyAlignment="1">
      <alignment horizontal="left" vertical="center" wrapText="1" indent="1"/>
    </xf>
    <xf numFmtId="0" fontId="9" fillId="4" borderId="0" xfId="0" applyFont="1" applyFill="1" applyAlignment="1">
      <alignment horizontal="left" vertical="center"/>
    </xf>
    <xf numFmtId="0" fontId="3" fillId="0" borderId="0" xfId="0" applyFont="1"/>
    <xf numFmtId="0" fontId="10" fillId="3" borderId="6" xfId="0" applyFont="1" applyFill="1" applyBorder="1" applyAlignment="1">
      <alignment horizontal="left" vertical="center" indent="1"/>
    </xf>
    <xf numFmtId="0" fontId="3" fillId="3" borderId="7" xfId="0" applyFont="1" applyFill="1" applyBorder="1" applyAlignment="1">
      <alignment horizontal="left" wrapText="1" indent="1"/>
    </xf>
    <xf numFmtId="0" fontId="4" fillId="2" borderId="7" xfId="0" applyFont="1" applyFill="1" applyBorder="1" applyAlignment="1">
      <alignment horizontal="center" vertical="center"/>
    </xf>
    <xf numFmtId="0" fontId="3" fillId="3" borderId="8" xfId="0" applyFont="1" applyFill="1" applyBorder="1" applyAlignment="1">
      <alignment horizontal="left" indent="1"/>
    </xf>
    <xf numFmtId="0" fontId="2" fillId="4" borderId="10" xfId="0" applyFont="1" applyFill="1" applyBorder="1"/>
    <xf numFmtId="0" fontId="9" fillId="0" borderId="11" xfId="0" applyFont="1" applyBorder="1" applyAlignment="1">
      <alignment horizontal="left" vertical="center"/>
    </xf>
    <xf numFmtId="0" fontId="1" fillId="0" borderId="13" xfId="0" applyFont="1" applyBorder="1"/>
    <xf numFmtId="0" fontId="9" fillId="4" borderId="9" xfId="0" applyFont="1" applyFill="1" applyBorder="1" applyAlignment="1">
      <alignment horizontal="left" vertical="center" indent="1"/>
    </xf>
    <xf numFmtId="0" fontId="2" fillId="4" borderId="10" xfId="0" applyFont="1" applyFill="1" applyBorder="1" applyAlignment="1">
      <alignment horizontal="left" indent="1"/>
    </xf>
    <xf numFmtId="0" fontId="9" fillId="4" borderId="11" xfId="0" applyFont="1" applyFill="1" applyBorder="1" applyAlignment="1">
      <alignment horizontal="left" vertical="center"/>
    </xf>
    <xf numFmtId="0" fontId="1" fillId="4" borderId="12" xfId="0" applyFont="1" applyFill="1" applyBorder="1" applyAlignment="1">
      <alignment horizontal="left" wrapText="1" indent="1"/>
    </xf>
    <xf numFmtId="0" fontId="1" fillId="4" borderId="12" xfId="0" applyFont="1" applyFill="1" applyBorder="1" applyAlignment="1">
      <alignment horizontal="left" vertical="center" wrapText="1" indent="1"/>
    </xf>
    <xf numFmtId="0" fontId="2" fillId="4" borderId="13" xfId="0" applyFont="1" applyFill="1" applyBorder="1" applyAlignment="1">
      <alignment horizontal="left" indent="1"/>
    </xf>
    <xf numFmtId="0" fontId="0" fillId="0" borderId="12" xfId="0" applyBorder="1" applyAlignment="1">
      <alignment horizontal="left" wrapText="1" indent="1"/>
    </xf>
    <xf numFmtId="0" fontId="9" fillId="0" borderId="1" xfId="0" applyFont="1" applyBorder="1" applyAlignment="1">
      <alignment horizontal="left" vertical="center" wrapText="1" indent="1"/>
    </xf>
    <xf numFmtId="0" fontId="5" fillId="4" borderId="0" xfId="0" applyFont="1" applyFill="1" applyAlignment="1">
      <alignment horizontal="center" vertical="center"/>
    </xf>
    <xf numFmtId="0" fontId="3" fillId="4" borderId="0" xfId="0" applyFont="1" applyFill="1"/>
    <xf numFmtId="0" fontId="0" fillId="4" borderId="0" xfId="0" applyFill="1" applyAlignment="1">
      <alignment horizontal="left" wrapText="1" indent="1"/>
    </xf>
    <xf numFmtId="0" fontId="12" fillId="4" borderId="0" xfId="0" applyFont="1" applyFill="1"/>
    <xf numFmtId="0" fontId="11" fillId="0" borderId="0" xfId="0" applyFont="1"/>
    <xf numFmtId="0" fontId="11" fillId="4" borderId="0" xfId="0" applyFont="1" applyFill="1"/>
    <xf numFmtId="0" fontId="9" fillId="4" borderId="0" xfId="0" applyFont="1" applyFill="1"/>
    <xf numFmtId="0" fontId="10" fillId="3" borderId="7" xfId="0" applyFont="1" applyFill="1" applyBorder="1" applyAlignment="1">
      <alignment horizontal="left" wrapText="1" indent="1"/>
    </xf>
    <xf numFmtId="0" fontId="11" fillId="0" borderId="12" xfId="0" applyFont="1" applyBorder="1" applyAlignment="1">
      <alignment horizontal="left" indent="1"/>
    </xf>
    <xf numFmtId="0" fontId="9" fillId="4" borderId="0" xfId="0" applyFont="1" applyFill="1" applyAlignment="1">
      <alignment horizontal="left" wrapText="1" indent="1"/>
    </xf>
    <xf numFmtId="0" fontId="9" fillId="4" borderId="12" xfId="0" applyFont="1" applyFill="1" applyBorder="1" applyAlignment="1">
      <alignment horizontal="left" wrapText="1" indent="1"/>
    </xf>
    <xf numFmtId="0" fontId="9" fillId="4" borderId="1" xfId="0" applyFont="1" applyFill="1" applyBorder="1" applyAlignment="1">
      <alignment horizontal="left" wrapText="1" indent="1"/>
    </xf>
    <xf numFmtId="0" fontId="11" fillId="4" borderId="0" xfId="0" applyFont="1" applyFill="1" applyAlignment="1">
      <alignment horizontal="left" indent="1"/>
    </xf>
    <xf numFmtId="0" fontId="11" fillId="0" borderId="14" xfId="0" applyFont="1" applyBorder="1"/>
    <xf numFmtId="0" fontId="9" fillId="0" borderId="16" xfId="0" applyFont="1" applyBorder="1" applyAlignment="1">
      <alignment horizontal="left" vertical="center" wrapText="1" indent="1"/>
    </xf>
    <xf numFmtId="0" fontId="2" fillId="4" borderId="17" xfId="0" applyFont="1" applyFill="1" applyBorder="1"/>
    <xf numFmtId="0" fontId="9" fillId="0" borderId="11" xfId="0" applyFont="1" applyBorder="1" applyAlignment="1">
      <alignment horizontal="left" vertical="center" indent="1"/>
    </xf>
    <xf numFmtId="0" fontId="9" fillId="0" borderId="12" xfId="0" applyFont="1" applyBorder="1" applyAlignment="1">
      <alignment horizontal="left" vertical="center" wrapText="1" indent="1"/>
    </xf>
    <xf numFmtId="0" fontId="9" fillId="4" borderId="11" xfId="0" applyFont="1" applyFill="1" applyBorder="1" applyAlignment="1">
      <alignment horizontal="left" vertical="center" indent="1"/>
    </xf>
    <xf numFmtId="0" fontId="1" fillId="6" borderId="0" xfId="0" applyFont="1" applyFill="1"/>
    <xf numFmtId="0" fontId="9" fillId="6" borderId="0" xfId="0" applyFont="1" applyFill="1" applyAlignment="1">
      <alignment horizontal="left" vertical="center" wrapText="1" indent="1"/>
    </xf>
    <xf numFmtId="0" fontId="9" fillId="0" borderId="0" xfId="0" applyFont="1" applyAlignment="1">
      <alignment horizontal="left" wrapText="1" indent="1"/>
    </xf>
    <xf numFmtId="0" fontId="2" fillId="4" borderId="0" xfId="0" applyFont="1" applyFill="1"/>
    <xf numFmtId="0" fontId="9" fillId="4" borderId="0" xfId="0" applyFont="1" applyFill="1" applyAlignment="1">
      <alignment horizontal="left" vertical="center" indent="1"/>
    </xf>
    <xf numFmtId="0" fontId="9" fillId="4" borderId="9" xfId="0" applyFont="1" applyFill="1" applyBorder="1" applyAlignment="1">
      <alignment horizontal="left" vertical="center" wrapText="1" indent="1"/>
    </xf>
    <xf numFmtId="0" fontId="9" fillId="0" borderId="9" xfId="0" applyFont="1" applyBorder="1" applyAlignment="1">
      <alignment horizontal="left" vertical="center" indent="1"/>
    </xf>
    <xf numFmtId="0" fontId="9" fillId="0" borderId="9" xfId="0" applyFont="1" applyBorder="1" applyAlignment="1">
      <alignment horizontal="left" vertical="center" wrapText="1" indent="1"/>
    </xf>
    <xf numFmtId="0" fontId="9" fillId="4" borderId="15" xfId="0" applyFont="1" applyFill="1" applyBorder="1" applyAlignment="1">
      <alignment horizontal="left" vertical="center" wrapText="1" indent="1"/>
    </xf>
    <xf numFmtId="0" fontId="9" fillId="0" borderId="20" xfId="0" applyFont="1" applyBorder="1" applyAlignment="1">
      <alignment horizontal="left" vertical="center" wrapText="1" indent="1"/>
    </xf>
    <xf numFmtId="0" fontId="2" fillId="4" borderId="21" xfId="0" applyFont="1" applyFill="1" applyBorder="1"/>
    <xf numFmtId="0" fontId="9" fillId="0" borderId="19" xfId="0" applyFont="1" applyBorder="1" applyAlignment="1">
      <alignment horizontal="left" vertical="center" wrapText="1" indent="1"/>
    </xf>
    <xf numFmtId="0" fontId="7" fillId="4" borderId="5" xfId="0" quotePrefix="1" applyFont="1" applyFill="1" applyBorder="1" applyAlignment="1">
      <alignment horizontal="left" vertical="center"/>
    </xf>
    <xf numFmtId="0" fontId="9" fillId="0" borderId="11" xfId="0" applyFont="1" applyBorder="1" applyAlignment="1">
      <alignment horizontal="left" vertical="center" wrapText="1" indent="1"/>
    </xf>
    <xf numFmtId="0" fontId="9" fillId="0" borderId="19" xfId="0" applyFont="1" applyBorder="1" applyAlignment="1">
      <alignment horizontal="left" vertical="center" wrapText="1" indent="3"/>
    </xf>
    <xf numFmtId="0" fontId="5" fillId="0" borderId="0" xfId="0" applyFont="1"/>
    <xf numFmtId="0" fontId="4" fillId="0" borderId="16" xfId="0" applyFont="1" applyBorder="1" applyAlignment="1">
      <alignment horizontal="center" vertical="center"/>
    </xf>
    <xf numFmtId="0" fontId="13" fillId="0" borderId="0" xfId="0" applyFont="1" applyAlignment="1">
      <alignment horizontal="right"/>
    </xf>
    <xf numFmtId="0" fontId="1" fillId="4" borderId="0" xfId="0" applyFont="1" applyFill="1" applyAlignment="1">
      <alignment horizontal="center" vertical="center"/>
    </xf>
    <xf numFmtId="0" fontId="1" fillId="4" borderId="1" xfId="0" applyFont="1" applyFill="1" applyBorder="1" applyAlignment="1">
      <alignment horizontal="center" vertical="center"/>
    </xf>
    <xf numFmtId="0" fontId="1" fillId="4" borderId="12" xfId="0" applyFont="1" applyFill="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1" fillId="0" borderId="12" xfId="0" applyFont="1" applyBorder="1" applyAlignment="1">
      <alignment horizontal="center" vertical="center"/>
    </xf>
    <xf numFmtId="0" fontId="1" fillId="4" borderId="0" xfId="0" applyFont="1" applyFill="1" applyAlignment="1">
      <alignment horizontal="center" vertical="center" textRotation="90"/>
    </xf>
    <xf numFmtId="0" fontId="1" fillId="0" borderId="16" xfId="0" applyFont="1" applyBorder="1" applyAlignment="1">
      <alignment horizontal="center" vertical="center"/>
    </xf>
    <xf numFmtId="0" fontId="1" fillId="0" borderId="0" xfId="0" applyFont="1" applyAlignment="1">
      <alignment horizontal="center" vertical="center"/>
    </xf>
    <xf numFmtId="0" fontId="9" fillId="0" borderId="12" xfId="0" applyFont="1" applyBorder="1" applyAlignment="1">
      <alignment horizontal="center" vertical="center" wrapText="1"/>
    </xf>
    <xf numFmtId="0" fontId="9" fillId="0" borderId="0" xfId="0" applyFont="1"/>
    <xf numFmtId="0" fontId="1" fillId="7" borderId="0" xfId="0" applyFont="1" applyFill="1" applyAlignment="1">
      <alignment horizontal="center" vertical="center"/>
    </xf>
    <xf numFmtId="0" fontId="9" fillId="0" borderId="0" xfId="0" applyFont="1" applyAlignment="1">
      <alignment horizontal="center"/>
    </xf>
    <xf numFmtId="0" fontId="5" fillId="6" borderId="22" xfId="0" applyFont="1" applyFill="1" applyBorder="1" applyAlignment="1">
      <alignment horizontal="left" vertical="center" wrapText="1" indent="1"/>
    </xf>
    <xf numFmtId="0" fontId="5" fillId="6" borderId="23" xfId="0" applyFont="1" applyFill="1" applyBorder="1" applyAlignment="1">
      <alignment horizontal="left" vertical="center" wrapText="1" indent="1"/>
    </xf>
    <xf numFmtId="0" fontId="5" fillId="6" borderId="23" xfId="0" applyFont="1" applyFill="1" applyBorder="1" applyAlignment="1">
      <alignment horizontal="left" vertical="center" indent="1"/>
    </xf>
    <xf numFmtId="0" fontId="5" fillId="6" borderId="24" xfId="0" applyFont="1" applyFill="1" applyBorder="1" applyAlignment="1">
      <alignment horizontal="left" vertical="center" indent="1"/>
    </xf>
    <xf numFmtId="0" fontId="0" fillId="0" borderId="0" xfId="0" applyAlignment="1">
      <alignment horizontal="left" vertical="center" wrapText="1" indent="1"/>
    </xf>
    <xf numFmtId="0" fontId="14" fillId="4" borderId="0" xfId="0" applyFont="1" applyFill="1" applyAlignment="1">
      <alignment vertical="center" wrapText="1"/>
    </xf>
    <xf numFmtId="0" fontId="9" fillId="4" borderId="1" xfId="0"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1" fillId="0" borderId="1" xfId="0" applyFont="1" applyBorder="1" applyAlignment="1">
      <alignment horizontal="left" vertical="center" wrapText="1" indent="1"/>
    </xf>
    <xf numFmtId="0" fontId="1" fillId="0" borderId="10" xfId="0" applyFont="1" applyBorder="1"/>
    <xf numFmtId="0" fontId="9" fillId="4" borderId="26" xfId="0" applyFont="1" applyFill="1" applyBorder="1" applyAlignment="1">
      <alignment horizontal="left" vertical="center" indent="1"/>
    </xf>
    <xf numFmtId="0" fontId="9" fillId="4" borderId="26" xfId="0" applyFont="1" applyFill="1" applyBorder="1" applyAlignment="1">
      <alignment horizontal="left" vertical="center" indent="3"/>
    </xf>
    <xf numFmtId="0" fontId="9" fillId="4" borderId="27" xfId="0" applyFont="1" applyFill="1" applyBorder="1" applyAlignment="1">
      <alignment horizontal="left" vertical="center" indent="1"/>
    </xf>
    <xf numFmtId="0" fontId="9" fillId="4" borderId="27" xfId="0" applyFont="1" applyFill="1" applyBorder="1" applyAlignment="1">
      <alignment horizontal="left" vertical="center" indent="3"/>
    </xf>
    <xf numFmtId="0" fontId="9" fillId="4" borderId="20" xfId="0" applyFont="1" applyFill="1" applyBorder="1" applyAlignment="1">
      <alignment horizontal="left" vertical="center" indent="3"/>
    </xf>
    <xf numFmtId="0" fontId="10" fillId="3" borderId="28" xfId="0" applyFont="1" applyFill="1" applyBorder="1" applyAlignment="1">
      <alignment horizontal="left" vertical="center" indent="1"/>
    </xf>
    <xf numFmtId="0" fontId="9" fillId="4" borderId="26" xfId="0" applyFont="1" applyFill="1" applyBorder="1" applyAlignment="1">
      <alignment horizontal="left" vertical="center" wrapText="1" indent="1"/>
    </xf>
    <xf numFmtId="0" fontId="9" fillId="0" borderId="30" xfId="0" applyFont="1" applyBorder="1" applyAlignment="1">
      <alignment horizontal="left" vertical="center" indent="1"/>
    </xf>
    <xf numFmtId="0" fontId="1" fillId="0" borderId="16" xfId="0" applyFont="1" applyBorder="1" applyAlignment="1">
      <alignment horizontal="left" wrapText="1" indent="1"/>
    </xf>
    <xf numFmtId="0" fontId="9" fillId="0" borderId="12" xfId="0" applyFont="1" applyBorder="1" applyAlignment="1">
      <alignment horizontal="left" vertical="center" indent="1"/>
    </xf>
    <xf numFmtId="0" fontId="9" fillId="8" borderId="9" xfId="0" applyFont="1" applyFill="1" applyBorder="1" applyAlignment="1">
      <alignment horizontal="left" vertical="center" wrapText="1" indent="1"/>
    </xf>
    <xf numFmtId="0" fontId="9" fillId="8" borderId="1" xfId="0" applyFont="1" applyFill="1" applyBorder="1" applyAlignment="1">
      <alignment horizontal="left" wrapText="1" indent="1"/>
    </xf>
    <xf numFmtId="0" fontId="1" fillId="8" borderId="1" xfId="0" applyFont="1" applyFill="1" applyBorder="1" applyAlignment="1">
      <alignment horizontal="left" wrapText="1" indent="1"/>
    </xf>
    <xf numFmtId="0" fontId="9" fillId="8" borderId="9" xfId="0" applyFont="1" applyFill="1" applyBorder="1" applyAlignment="1">
      <alignment horizontal="left" vertical="center" indent="1"/>
    </xf>
    <xf numFmtId="0" fontId="9" fillId="8" borderId="11" xfId="0" applyFont="1" applyFill="1" applyBorder="1" applyAlignment="1">
      <alignment horizontal="left" vertical="center"/>
    </xf>
    <xf numFmtId="0" fontId="9" fillId="8" borderId="12" xfId="0" applyFont="1" applyFill="1" applyBorder="1" applyAlignment="1">
      <alignment horizontal="left" wrapText="1" indent="1"/>
    </xf>
    <xf numFmtId="0" fontId="1" fillId="8" borderId="12" xfId="0" applyFont="1" applyFill="1" applyBorder="1" applyAlignment="1">
      <alignment horizontal="left" wrapText="1" indent="1"/>
    </xf>
    <xf numFmtId="0" fontId="9" fillId="0" borderId="31" xfId="0" applyFont="1" applyBorder="1" applyAlignment="1">
      <alignment horizontal="left" vertical="center" indent="1"/>
    </xf>
    <xf numFmtId="0" fontId="9" fillId="9" borderId="11" xfId="0" applyFont="1" applyFill="1" applyBorder="1" applyAlignment="1">
      <alignment horizontal="left" vertical="center"/>
    </xf>
    <xf numFmtId="0" fontId="9" fillId="0" borderId="0" xfId="0" applyFont="1" applyAlignment="1">
      <alignment horizontal="left" vertical="center" wrapText="1" indent="1"/>
    </xf>
    <xf numFmtId="0" fontId="9" fillId="0" borderId="0" xfId="0" applyFont="1" applyAlignment="1">
      <alignment horizontal="center" vertical="center" wrapText="1"/>
    </xf>
    <xf numFmtId="0" fontId="9" fillId="0" borderId="0" xfId="0" applyFont="1" applyAlignment="1">
      <alignment horizontal="left" vertical="center" indent="1"/>
    </xf>
    <xf numFmtId="0" fontId="9" fillId="9" borderId="1" xfId="0" applyFont="1" applyFill="1" applyBorder="1" applyAlignment="1">
      <alignment horizontal="left" vertical="center" wrapText="1" indent="1"/>
    </xf>
    <xf numFmtId="0" fontId="9" fillId="9" borderId="9" xfId="0" applyFont="1" applyFill="1" applyBorder="1" applyAlignment="1">
      <alignment horizontal="left" vertical="center" indent="1"/>
    </xf>
    <xf numFmtId="0" fontId="11" fillId="9" borderId="12" xfId="0" applyFont="1" applyFill="1" applyBorder="1" applyAlignment="1">
      <alignment horizontal="left" indent="1"/>
    </xf>
    <xf numFmtId="0" fontId="0" fillId="9" borderId="12" xfId="0" applyFill="1" applyBorder="1" applyAlignment="1">
      <alignment horizontal="left" wrapText="1" indent="1"/>
    </xf>
    <xf numFmtId="0" fontId="11" fillId="0" borderId="12" xfId="0" applyFont="1" applyBorder="1" applyAlignment="1">
      <alignment horizontal="left" vertical="center" indent="1"/>
    </xf>
    <xf numFmtId="0" fontId="0" fillId="0" borderId="12" xfId="0" applyBorder="1" applyAlignment="1">
      <alignment horizontal="left" vertical="center" wrapText="1" indent="1"/>
    </xf>
    <xf numFmtId="0" fontId="9" fillId="0" borderId="1" xfId="0" applyFont="1" applyBorder="1" applyAlignment="1">
      <alignment horizontal="left" vertical="center" indent="1"/>
    </xf>
    <xf numFmtId="0" fontId="9" fillId="4" borderId="1" xfId="0" applyFont="1" applyFill="1" applyBorder="1" applyAlignment="1">
      <alignment horizontal="left" vertical="center" wrapText="1"/>
    </xf>
    <xf numFmtId="0" fontId="1" fillId="0" borderId="16" xfId="0" applyFont="1" applyBorder="1" applyAlignment="1">
      <alignment horizontal="left" vertical="center" wrapText="1" indent="1"/>
    </xf>
    <xf numFmtId="0" fontId="1" fillId="0" borderId="12" xfId="0" applyFont="1" applyBorder="1" applyAlignment="1">
      <alignment horizontal="left" vertical="center" wrapText="1" indent="1"/>
    </xf>
    <xf numFmtId="0" fontId="9" fillId="0" borderId="9" xfId="0" applyFont="1" applyBorder="1" applyAlignment="1">
      <alignment horizontal="left" vertical="center" wrapText="1" indent="3"/>
    </xf>
    <xf numFmtId="0" fontId="9" fillId="0" borderId="1" xfId="0" applyFont="1" applyBorder="1" applyAlignment="1">
      <alignment horizontal="left" vertical="center" wrapText="1" indent="3"/>
    </xf>
    <xf numFmtId="0" fontId="0" fillId="0" borderId="1" xfId="0" applyBorder="1" applyAlignment="1">
      <alignment horizontal="left" vertical="center" wrapText="1" indent="1"/>
    </xf>
    <xf numFmtId="0" fontId="9" fillId="0" borderId="1" xfId="0" applyFont="1" applyBorder="1" applyAlignment="1">
      <alignment horizontal="left" wrapText="1" indent="1"/>
    </xf>
    <xf numFmtId="0" fontId="1" fillId="0" borderId="1" xfId="0" applyFont="1" applyBorder="1" applyAlignment="1">
      <alignment horizontal="left" wrapText="1" indent="1"/>
    </xf>
    <xf numFmtId="0" fontId="9" fillId="4" borderId="11" xfId="0" applyFont="1" applyFill="1" applyBorder="1" applyAlignment="1">
      <alignment horizontal="left" vertical="center" wrapText="1" indent="1"/>
    </xf>
    <xf numFmtId="0" fontId="9" fillId="4" borderId="12" xfId="0" applyFont="1" applyFill="1" applyBorder="1" applyAlignment="1">
      <alignment horizontal="left" vertical="center" wrapText="1"/>
    </xf>
    <xf numFmtId="0" fontId="4" fillId="0" borderId="1" xfId="0" applyFont="1" applyBorder="1" applyAlignment="1">
      <alignment horizontal="center" vertical="center"/>
    </xf>
    <xf numFmtId="0" fontId="2" fillId="0" borderId="9" xfId="0" applyFont="1" applyBorder="1" applyAlignment="1">
      <alignment horizontal="left" vertical="center" indent="1"/>
    </xf>
    <xf numFmtId="0" fontId="13" fillId="0" borderId="1" xfId="0" applyFont="1" applyBorder="1" applyAlignment="1">
      <alignment horizontal="left" vertical="center" wrapText="1" indent="2"/>
    </xf>
    <xf numFmtId="0" fontId="9" fillId="0" borderId="9" xfId="0" applyFont="1" applyBorder="1" applyAlignment="1">
      <alignment horizontal="left" vertical="center"/>
    </xf>
    <xf numFmtId="0" fontId="2" fillId="0" borderId="9" xfId="0" applyFont="1" applyBorder="1" applyAlignment="1">
      <alignment horizontal="left" indent="1"/>
    </xf>
    <xf numFmtId="0" fontId="4" fillId="10" borderId="7" xfId="0" applyFont="1" applyFill="1" applyBorder="1" applyAlignment="1">
      <alignment horizontal="center" vertical="center"/>
    </xf>
    <xf numFmtId="0" fontId="9" fillId="0" borderId="25" xfId="0" applyFont="1" applyBorder="1" applyAlignment="1">
      <alignment horizontal="left" vertical="center" wrapText="1" indent="1"/>
    </xf>
    <xf numFmtId="0" fontId="9" fillId="0" borderId="25" xfId="0" applyFont="1" applyBorder="1" applyAlignment="1">
      <alignment horizontal="left" vertical="center" indent="1"/>
    </xf>
    <xf numFmtId="0" fontId="9" fillId="0" borderId="25" xfId="0" applyFont="1" applyBorder="1" applyAlignment="1">
      <alignment horizontal="center" vertical="center"/>
    </xf>
    <xf numFmtId="0" fontId="1" fillId="4" borderId="0" xfId="0" applyFont="1" applyFill="1" applyAlignment="1">
      <alignment horizontal="left" vertical="top" wrapText="1" indent="1"/>
    </xf>
    <xf numFmtId="0" fontId="1" fillId="4" borderId="2" xfId="0" applyFont="1" applyFill="1" applyBorder="1" applyAlignment="1">
      <alignment horizontal="left" textRotation="90"/>
    </xf>
    <xf numFmtId="0" fontId="1" fillId="4" borderId="3" xfId="0" applyFont="1" applyFill="1" applyBorder="1" applyAlignment="1">
      <alignment horizontal="left" textRotation="90"/>
    </xf>
    <xf numFmtId="0" fontId="1" fillId="4" borderId="4" xfId="0" applyFont="1" applyFill="1" applyBorder="1" applyAlignment="1">
      <alignment horizontal="left" textRotation="90"/>
    </xf>
    <xf numFmtId="0" fontId="15" fillId="4" borderId="4" xfId="0" applyFont="1" applyFill="1" applyBorder="1" applyAlignment="1">
      <alignment horizontal="center" textRotation="90"/>
    </xf>
    <xf numFmtId="0" fontId="5" fillId="11" borderId="23" xfId="0" applyFont="1" applyFill="1" applyBorder="1" applyAlignment="1">
      <alignment horizontal="left" vertical="center" indent="1"/>
    </xf>
    <xf numFmtId="0" fontId="9" fillId="3" borderId="25" xfId="0" applyFont="1" applyFill="1" applyBorder="1" applyAlignment="1">
      <alignment horizontal="left" vertical="center" indent="1"/>
    </xf>
    <xf numFmtId="0" fontId="9" fillId="3" borderId="25" xfId="0" applyFont="1" applyFill="1" applyBorder="1" applyAlignment="1">
      <alignment horizontal="center" vertical="center"/>
    </xf>
    <xf numFmtId="0" fontId="16" fillId="0" borderId="0" xfId="0" applyFont="1" applyAlignment="1">
      <alignment horizontal="right" vertical="center" wrapText="1" indent="2"/>
    </xf>
    <xf numFmtId="0" fontId="16" fillId="0" borderId="0" xfId="0" applyFont="1" applyAlignment="1">
      <alignment horizontal="center" vertical="center"/>
    </xf>
    <xf numFmtId="0" fontId="5" fillId="6" borderId="0" xfId="0" applyFont="1" applyFill="1" applyAlignment="1">
      <alignment horizontal="left" vertical="center" indent="1"/>
    </xf>
    <xf numFmtId="0" fontId="5" fillId="6" borderId="0" xfId="0" applyFont="1" applyFill="1" applyAlignment="1">
      <alignment horizontal="left" vertical="center" wrapText="1" indent="1"/>
    </xf>
    <xf numFmtId="0" fontId="1" fillId="4" borderId="20" xfId="0" applyFont="1" applyFill="1" applyBorder="1" applyAlignment="1">
      <alignment horizontal="center" vertical="center"/>
    </xf>
    <xf numFmtId="0" fontId="19" fillId="0" borderId="1" xfId="0" applyFont="1" applyBorder="1" applyAlignment="1">
      <alignment horizontal="left" vertical="center" wrapText="1" indent="1"/>
    </xf>
    <xf numFmtId="0" fontId="9" fillId="0" borderId="27" xfId="0" applyFont="1" applyBorder="1" applyAlignment="1">
      <alignment horizontal="left" vertical="center" indent="1"/>
    </xf>
    <xf numFmtId="0" fontId="9" fillId="0" borderId="29" xfId="0" applyFont="1" applyBorder="1" applyAlignment="1">
      <alignment horizontal="left" vertical="center"/>
    </xf>
    <xf numFmtId="0" fontId="9" fillId="0" borderId="12" xfId="0" applyFont="1" applyBorder="1" applyAlignment="1">
      <alignment horizontal="left" wrapText="1" indent="1"/>
    </xf>
    <xf numFmtId="0" fontId="17" fillId="0" borderId="12" xfId="0" applyFont="1" applyBorder="1" applyAlignment="1">
      <alignment horizontal="left" wrapText="1" indent="1"/>
    </xf>
    <xf numFmtId="0" fontId="1" fillId="0" borderId="9" xfId="0" applyFont="1" applyBorder="1" applyAlignment="1">
      <alignment horizontal="left" vertical="center" indent="1"/>
    </xf>
    <xf numFmtId="0" fontId="9" fillId="0" borderId="1" xfId="0" applyFont="1" applyBorder="1" applyAlignment="1">
      <alignment horizontal="left" vertical="center" wrapText="1" indent="2"/>
    </xf>
    <xf numFmtId="0" fontId="5" fillId="5" borderId="0" xfId="0" applyFont="1" applyFill="1" applyAlignment="1">
      <alignment horizontal="left" vertical="top" indent="1"/>
    </xf>
    <xf numFmtId="0" fontId="0" fillId="0" borderId="0" xfId="0" applyAlignment="1">
      <alignment horizontal="left" vertical="top" indent="1"/>
    </xf>
    <xf numFmtId="0" fontId="3" fillId="4" borderId="0" xfId="0" applyFont="1" applyFill="1" applyAlignment="1">
      <alignment vertical="top" wrapText="1"/>
    </xf>
    <xf numFmtId="0" fontId="0" fillId="0" borderId="0" xfId="0" applyAlignment="1">
      <alignment vertical="top"/>
    </xf>
    <xf numFmtId="0" fontId="5" fillId="6" borderId="0" xfId="0" applyFont="1" applyFill="1" applyAlignment="1">
      <alignment horizontal="left" vertical="center" wrapText="1" indent="1"/>
    </xf>
    <xf numFmtId="0" fontId="5" fillId="6" borderId="18" xfId="0" applyFont="1" applyFill="1" applyBorder="1" applyAlignment="1">
      <alignment horizontal="left" vertical="center" indent="1"/>
    </xf>
    <xf numFmtId="0" fontId="0" fillId="0" borderId="18" xfId="0" applyBorder="1" applyAlignment="1">
      <alignment horizontal="left" vertical="center" indent="1"/>
    </xf>
    <xf numFmtId="0" fontId="1" fillId="4" borderId="0" xfId="0" applyFont="1" applyFill="1" applyAlignment="1">
      <alignment vertical="top" wrapText="1"/>
    </xf>
    <xf numFmtId="0" fontId="5" fillId="6" borderId="0" xfId="0" applyFont="1" applyFill="1" applyAlignment="1">
      <alignment horizontal="left" vertical="center" indent="1"/>
    </xf>
    <xf numFmtId="0" fontId="0" fillId="0" borderId="0" xfId="0" applyAlignment="1">
      <alignment horizontal="left" vertical="center" indent="1"/>
    </xf>
    <xf numFmtId="0" fontId="5" fillId="6" borderId="18" xfId="0" applyFont="1" applyFill="1" applyBorder="1" applyAlignment="1">
      <alignment horizontal="left" vertical="center" wrapText="1" indent="1"/>
    </xf>
    <xf numFmtId="0" fontId="2" fillId="4" borderId="10" xfId="0" applyFont="1" applyFill="1" applyBorder="1" applyAlignment="1">
      <alignment horizontal="left" vertical="top" wrapText="1" indent="1"/>
    </xf>
    <xf numFmtId="0" fontId="20" fillId="4" borderId="32" xfId="0" applyFont="1" applyFill="1" applyBorder="1" applyAlignment="1">
      <alignment horizontal="left" vertical="top" wrapText="1"/>
    </xf>
    <xf numFmtId="0" fontId="2" fillId="4" borderId="10" xfId="0" applyFont="1" applyFill="1" applyBorder="1" applyAlignment="1">
      <alignment wrapText="1"/>
    </xf>
    <xf numFmtId="0" fontId="1" fillId="0" borderId="17" xfId="0" applyFont="1" applyBorder="1" applyAlignment="1">
      <alignment horizontal="left" wrapText="1" indent="1"/>
    </xf>
    <xf numFmtId="0" fontId="2" fillId="4" borderId="21" xfId="0" applyFont="1" applyFill="1" applyBorder="1" applyAlignment="1">
      <alignment horizontal="left" vertical="top" wrapText="1"/>
    </xf>
    <xf numFmtId="0" fontId="1" fillId="0" borderId="13" xfId="0" applyFont="1" applyBorder="1" applyAlignment="1">
      <alignment horizontal="left" vertical="top" wrapText="1"/>
    </xf>
    <xf numFmtId="0" fontId="2" fillId="4" borderId="10" xfId="0" applyFont="1" applyFill="1" applyBorder="1" applyAlignment="1">
      <alignment vertical="top" wrapText="1"/>
    </xf>
    <xf numFmtId="0" fontId="2" fillId="4" borderId="10" xfId="0" applyFont="1" applyFill="1" applyBorder="1" applyAlignment="1">
      <alignment horizontal="left" vertical="top"/>
    </xf>
    <xf numFmtId="0" fontId="2" fillId="4" borderId="10" xfId="0" applyFont="1" applyFill="1" applyBorder="1" applyAlignment="1">
      <alignment horizontal="left" vertical="top" wrapText="1"/>
    </xf>
  </cellXfs>
  <cellStyles count="1">
    <cellStyle name="Normal" xfId="0" builtinId="0"/>
  </cellStyles>
  <dxfs count="2">
    <dxf>
      <fill>
        <patternFill>
          <bgColor rgb="FFFFFF00"/>
        </patternFill>
      </fill>
    </dxf>
    <dxf>
      <fill>
        <patternFill>
          <bgColor rgb="FFFFFF00"/>
        </patternFill>
      </fill>
    </dxf>
  </dxfs>
  <tableStyles count="0" defaultTableStyle="TableStyleMedium2" defaultPivotStyle="PivotStyleLight16"/>
  <colors>
    <mruColors>
      <color rgb="FFFFFF9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204372</xdr:colOff>
      <xdr:row>1</xdr:row>
      <xdr:rowOff>14598</xdr:rowOff>
    </xdr:from>
    <xdr:to>
      <xdr:col>1</xdr:col>
      <xdr:colOff>208921</xdr:colOff>
      <xdr:row>3</xdr:row>
      <xdr:rowOff>58232</xdr:rowOff>
    </xdr:to>
    <xdr:pic>
      <xdr:nvPicPr>
        <xdr:cNvPr id="2" name="Picture 1">
          <a:extLst>
            <a:ext uri="{FF2B5EF4-FFF2-40B4-BE49-F238E27FC236}">
              <a16:creationId xmlns:a16="http://schemas.microsoft.com/office/drawing/2014/main" id="{D995F601-6D0F-A94F-A04F-643827D5B9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4372" y="204368"/>
          <a:ext cx="526899" cy="52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5"/>
  <sheetViews>
    <sheetView showGridLines="0" tabSelected="1" topLeftCell="A257" zoomScale="80" zoomScaleNormal="80" workbookViewId="0">
      <selection activeCell="L272" sqref="L272"/>
    </sheetView>
  </sheetViews>
  <sheetFormatPr defaultColWidth="3.6640625" defaultRowHeight="14.4" x14ac:dyDescent="0.3"/>
  <cols>
    <col min="1" max="1" width="6.6640625" style="8" customWidth="1"/>
    <col min="2" max="2" width="4.6640625" customWidth="1"/>
    <col min="3" max="3" width="62.44140625" customWidth="1"/>
    <col min="4" max="4" width="57.6640625" style="37" customWidth="1"/>
    <col min="5" max="5" width="93.33203125" style="5" customWidth="1"/>
    <col min="6" max="6" width="4.6640625" customWidth="1"/>
    <col min="7" max="7" width="5.44140625" bestFit="1" customWidth="1"/>
    <col min="8" max="10" width="4.6640625" customWidth="1"/>
    <col min="11" max="11" width="5.5546875" bestFit="1" customWidth="1"/>
    <col min="12" max="12" width="60.6640625" customWidth="1"/>
    <col min="15" max="33" width="3.6640625" style="8"/>
  </cols>
  <sheetData>
    <row r="1" spans="1:39" x14ac:dyDescent="0.3">
      <c r="B1" s="12"/>
      <c r="C1" s="12"/>
      <c r="D1" s="36"/>
      <c r="E1" s="10"/>
      <c r="F1" s="8"/>
      <c r="G1" s="8"/>
      <c r="H1" s="8"/>
      <c r="I1" s="8"/>
      <c r="J1" s="8"/>
      <c r="K1" s="8"/>
      <c r="L1" s="8"/>
      <c r="M1" s="8"/>
      <c r="N1" s="8"/>
    </row>
    <row r="2" spans="1:39" ht="21" x14ac:dyDescent="0.3">
      <c r="B2" s="12"/>
      <c r="C2" s="13" t="s">
        <v>0</v>
      </c>
      <c r="D2" s="46"/>
      <c r="E2" s="10"/>
      <c r="F2" s="8"/>
      <c r="G2" s="8"/>
      <c r="H2" s="8"/>
      <c r="I2" s="8"/>
      <c r="J2" s="8"/>
      <c r="K2" s="8"/>
      <c r="L2" s="8"/>
      <c r="M2" s="8"/>
      <c r="N2" s="8"/>
    </row>
    <row r="3" spans="1:39" ht="20.399999999999999" x14ac:dyDescent="0.3">
      <c r="B3" s="12"/>
      <c r="C3" s="64" t="s">
        <v>1</v>
      </c>
      <c r="D3" s="69" t="s">
        <v>2</v>
      </c>
      <c r="E3" s="10"/>
      <c r="F3" s="8"/>
      <c r="G3" s="8"/>
      <c r="H3" s="8"/>
      <c r="I3" s="8"/>
      <c r="J3" s="8"/>
      <c r="K3" s="8"/>
      <c r="L3" s="8"/>
      <c r="M3" s="8"/>
      <c r="N3" s="8"/>
    </row>
    <row r="4" spans="1:39" x14ac:dyDescent="0.3">
      <c r="B4" s="12"/>
      <c r="C4" s="12"/>
      <c r="D4" s="36"/>
      <c r="E4" s="10"/>
      <c r="F4" s="8"/>
      <c r="G4" s="8"/>
      <c r="H4" s="8"/>
      <c r="I4" s="8"/>
      <c r="J4" s="8"/>
      <c r="K4" s="8"/>
      <c r="L4" s="8"/>
      <c r="M4" s="8"/>
      <c r="N4" s="8"/>
    </row>
    <row r="5" spans="1:39" ht="21" x14ac:dyDescent="0.4">
      <c r="B5" s="8"/>
      <c r="C5" s="9" t="s">
        <v>3</v>
      </c>
      <c r="D5" s="38"/>
      <c r="E5" s="10"/>
      <c r="F5" s="8"/>
      <c r="G5" s="8"/>
      <c r="H5" s="8"/>
      <c r="I5" s="8"/>
      <c r="J5" s="8"/>
      <c r="K5" s="8"/>
      <c r="M5" s="8"/>
      <c r="N5" s="8"/>
    </row>
    <row r="6" spans="1:39" ht="15.6" x14ac:dyDescent="0.3">
      <c r="B6" s="2"/>
      <c r="C6" s="2"/>
      <c r="D6" s="39"/>
      <c r="E6" s="3"/>
      <c r="F6" s="2"/>
      <c r="G6" s="2"/>
      <c r="H6" s="2"/>
      <c r="I6" s="2"/>
      <c r="J6" s="2"/>
      <c r="K6" s="2"/>
      <c r="L6" s="4"/>
      <c r="M6" s="2"/>
      <c r="N6" s="2"/>
      <c r="O6" s="2"/>
      <c r="P6" s="2"/>
      <c r="Q6" s="2"/>
      <c r="R6" s="2"/>
      <c r="S6" s="2"/>
      <c r="T6" s="2"/>
      <c r="U6" s="2"/>
      <c r="V6" s="2"/>
      <c r="W6" s="2"/>
      <c r="X6" s="2"/>
      <c r="Y6" s="2"/>
      <c r="Z6" s="2"/>
      <c r="AA6" s="2"/>
      <c r="AB6" s="2"/>
      <c r="AC6" s="2"/>
      <c r="AD6" s="2"/>
      <c r="AE6" s="2"/>
      <c r="AF6" s="2"/>
      <c r="AG6" s="2"/>
      <c r="AH6" s="1"/>
      <c r="AI6" s="1"/>
      <c r="AJ6" s="1"/>
      <c r="AK6" s="1"/>
      <c r="AL6" s="1"/>
      <c r="AM6" s="1"/>
    </row>
    <row r="7" spans="1:39" ht="19.5" customHeight="1" x14ac:dyDescent="0.3">
      <c r="A7"/>
      <c r="B7" s="2"/>
      <c r="C7" s="163" t="s">
        <v>4</v>
      </c>
      <c r="D7" s="164"/>
      <c r="E7" s="3"/>
      <c r="F7" s="7"/>
      <c r="G7" s="7"/>
      <c r="H7" s="7"/>
      <c r="I7" s="7"/>
      <c r="J7" s="7"/>
      <c r="K7" s="7"/>
      <c r="L7" s="11"/>
      <c r="M7" s="2"/>
      <c r="N7" s="2"/>
      <c r="O7" s="2"/>
      <c r="P7" s="2"/>
      <c r="Q7" s="2"/>
      <c r="R7" s="2"/>
      <c r="S7" s="2"/>
      <c r="T7" s="2"/>
      <c r="U7" s="2"/>
      <c r="V7" s="2"/>
      <c r="W7" s="2"/>
      <c r="X7" s="2"/>
      <c r="Y7" s="2"/>
      <c r="Z7" s="2"/>
      <c r="AA7" s="2"/>
      <c r="AB7" s="2"/>
      <c r="AC7" s="2"/>
      <c r="AD7" s="2"/>
      <c r="AE7" s="2"/>
      <c r="AF7" s="2"/>
      <c r="AG7" s="2"/>
      <c r="AH7" s="1"/>
      <c r="AI7" s="1"/>
      <c r="AJ7" s="1"/>
      <c r="AK7" s="1"/>
      <c r="AL7" s="1"/>
      <c r="AM7" s="1"/>
    </row>
    <row r="8" spans="1:39" ht="18" customHeight="1" x14ac:dyDescent="0.3">
      <c r="A8"/>
      <c r="B8" s="33">
        <v>1</v>
      </c>
      <c r="C8" s="161"/>
      <c r="D8" s="162"/>
      <c r="E8" s="161"/>
      <c r="F8" s="162"/>
      <c r="G8" s="161"/>
      <c r="H8" s="161"/>
      <c r="I8" s="161"/>
      <c r="J8" s="161"/>
      <c r="K8" s="162"/>
      <c r="L8" s="11"/>
      <c r="M8" s="2"/>
      <c r="N8" s="2"/>
      <c r="O8" s="2"/>
      <c r="P8" s="2"/>
      <c r="Q8" s="2"/>
      <c r="R8" s="2"/>
      <c r="S8" s="2"/>
      <c r="T8" s="2"/>
      <c r="U8" s="2"/>
      <c r="V8" s="2"/>
      <c r="W8" s="2"/>
      <c r="X8" s="2"/>
      <c r="Y8" s="2"/>
      <c r="Z8" s="2"/>
      <c r="AA8" s="2"/>
      <c r="AB8" s="2"/>
      <c r="AC8" s="2"/>
      <c r="AD8" s="2"/>
      <c r="AE8" s="2"/>
      <c r="AF8" s="2"/>
      <c r="AG8" s="2"/>
      <c r="AH8" s="1"/>
      <c r="AI8" s="1"/>
      <c r="AJ8" s="1"/>
      <c r="AK8" s="1"/>
      <c r="AL8" s="1"/>
      <c r="AM8" s="1"/>
    </row>
    <row r="9" spans="1:39" ht="150.75" customHeight="1" x14ac:dyDescent="0.3">
      <c r="A9"/>
      <c r="B9" s="2"/>
      <c r="C9" s="168" t="s">
        <v>5</v>
      </c>
      <c r="D9" s="164"/>
      <c r="E9" s="141" t="s">
        <v>6</v>
      </c>
      <c r="F9" s="142" t="s">
        <v>7</v>
      </c>
      <c r="G9" s="143" t="s">
        <v>8</v>
      </c>
      <c r="H9" s="144" t="s">
        <v>9</v>
      </c>
      <c r="I9" s="144" t="s">
        <v>10</v>
      </c>
      <c r="J9" s="144" t="s">
        <v>11</v>
      </c>
      <c r="K9" s="145" t="s">
        <v>12</v>
      </c>
      <c r="L9" s="11"/>
      <c r="M9" s="2"/>
      <c r="N9" s="2"/>
      <c r="O9" s="2"/>
      <c r="P9" s="2"/>
      <c r="Q9" s="2"/>
      <c r="R9" s="2"/>
      <c r="S9" s="2"/>
      <c r="T9" s="2"/>
      <c r="U9" s="2"/>
      <c r="V9" s="2"/>
      <c r="W9" s="2"/>
      <c r="X9" s="2"/>
      <c r="Y9" s="2"/>
      <c r="Z9" s="2"/>
      <c r="AA9" s="2"/>
      <c r="AB9" s="2"/>
      <c r="AC9" s="2"/>
      <c r="AD9" s="2"/>
      <c r="AE9" s="2"/>
      <c r="AF9" s="2"/>
      <c r="AG9" s="2"/>
      <c r="AH9" s="1"/>
      <c r="AI9" s="1"/>
      <c r="AJ9" s="1"/>
      <c r="AK9" s="1"/>
      <c r="AL9" s="1"/>
      <c r="AM9" s="1"/>
    </row>
    <row r="10" spans="1:39" ht="20.100000000000001" customHeight="1" thickBot="1" x14ac:dyDescent="0.35">
      <c r="A10"/>
      <c r="B10" s="52"/>
      <c r="C10" s="152" t="s">
        <v>13</v>
      </c>
      <c r="D10" s="53"/>
      <c r="E10" s="6"/>
      <c r="F10" s="70"/>
      <c r="G10" s="70"/>
      <c r="H10" s="70"/>
      <c r="I10" s="70"/>
      <c r="J10" s="70"/>
      <c r="K10" s="70"/>
      <c r="L10" s="11"/>
      <c r="M10" s="2"/>
      <c r="N10" s="2"/>
      <c r="O10" s="2"/>
      <c r="P10" s="2"/>
      <c r="Q10" s="2"/>
      <c r="R10" s="2"/>
      <c r="S10" s="2"/>
      <c r="T10" s="2"/>
      <c r="U10" s="2"/>
      <c r="V10" s="2"/>
      <c r="W10" s="2"/>
      <c r="X10" s="2"/>
      <c r="Y10" s="2"/>
      <c r="Z10" s="2"/>
      <c r="AA10" s="2"/>
      <c r="AB10" s="2"/>
      <c r="AC10" s="2"/>
      <c r="AD10" s="2"/>
      <c r="AE10" s="2"/>
      <c r="AF10" s="2"/>
      <c r="AG10" s="2"/>
      <c r="AH10" s="1"/>
      <c r="AI10" s="1"/>
      <c r="AJ10" s="1"/>
      <c r="AK10" s="1"/>
      <c r="AL10" s="1"/>
      <c r="AM10" s="1"/>
    </row>
    <row r="11" spans="1:39" ht="20.100000000000001" customHeight="1" x14ac:dyDescent="0.3">
      <c r="A11"/>
      <c r="B11" s="67"/>
      <c r="C11" s="18" t="s">
        <v>14</v>
      </c>
      <c r="D11" s="40" t="s">
        <v>15</v>
      </c>
      <c r="E11" s="19" t="s">
        <v>16</v>
      </c>
      <c r="F11" s="20" t="s">
        <v>17</v>
      </c>
      <c r="G11" s="20" t="s">
        <v>18</v>
      </c>
      <c r="H11" s="20" t="s">
        <v>19</v>
      </c>
      <c r="I11" s="20" t="s">
        <v>20</v>
      </c>
      <c r="J11" s="20" t="s">
        <v>21</v>
      </c>
      <c r="K11" s="137" t="s">
        <v>22</v>
      </c>
      <c r="L11" s="21" t="s">
        <v>23</v>
      </c>
      <c r="M11" s="2"/>
      <c r="N11" s="2"/>
      <c r="O11" s="2"/>
      <c r="P11" s="2"/>
      <c r="Q11" s="2"/>
      <c r="R11" s="2"/>
      <c r="S11" s="2"/>
      <c r="T11" s="2"/>
      <c r="U11" s="2"/>
      <c r="V11" s="2"/>
      <c r="W11" s="2"/>
      <c r="X11" s="2"/>
      <c r="Y11" s="2"/>
      <c r="Z11" s="2"/>
      <c r="AA11" s="2"/>
      <c r="AB11" s="2"/>
      <c r="AC11" s="2"/>
      <c r="AD11" s="2"/>
      <c r="AE11" s="2"/>
      <c r="AF11" s="2"/>
      <c r="AG11" s="2"/>
      <c r="AH11" s="1"/>
      <c r="AI11" s="1"/>
      <c r="AJ11" s="1"/>
      <c r="AK11" s="1"/>
      <c r="AL11" s="1"/>
      <c r="AM11" s="1"/>
    </row>
    <row r="12" spans="1:39" ht="174" x14ac:dyDescent="0.3">
      <c r="A12"/>
      <c r="B12" s="34"/>
      <c r="C12" s="60" t="s">
        <v>24</v>
      </c>
      <c r="D12" s="89" t="s">
        <v>25</v>
      </c>
      <c r="E12" s="90" t="s">
        <v>26</v>
      </c>
      <c r="F12" s="71"/>
      <c r="G12" s="71">
        <v>1</v>
      </c>
      <c r="H12" s="71"/>
      <c r="I12" s="71"/>
      <c r="J12" s="71"/>
      <c r="K12" s="71">
        <v>1</v>
      </c>
      <c r="L12" s="172" t="s">
        <v>363</v>
      </c>
      <c r="M12" s="2"/>
      <c r="N12" s="2"/>
      <c r="O12" s="2"/>
      <c r="P12" s="2"/>
      <c r="Q12" s="2"/>
      <c r="R12" s="2"/>
      <c r="S12" s="2"/>
      <c r="T12" s="2"/>
      <c r="U12" s="2"/>
      <c r="V12" s="2"/>
      <c r="W12" s="2"/>
      <c r="X12" s="2"/>
      <c r="Y12" s="2"/>
      <c r="Z12" s="2"/>
      <c r="AA12" s="2"/>
      <c r="AB12" s="2"/>
      <c r="AC12" s="2"/>
      <c r="AD12" s="2"/>
      <c r="AE12" s="2"/>
      <c r="AF12" s="2"/>
      <c r="AG12" s="2"/>
      <c r="AH12" s="1"/>
      <c r="AI12" s="1"/>
      <c r="AJ12" s="1"/>
      <c r="AK12" s="1"/>
      <c r="AL12" s="1"/>
      <c r="AM12" s="1"/>
    </row>
    <row r="13" spans="1:39" ht="20.100000000000001" customHeight="1" thickBot="1" x14ac:dyDescent="0.35">
      <c r="A13"/>
      <c r="B13" s="34"/>
      <c r="C13" s="51"/>
      <c r="D13" s="43"/>
      <c r="E13" s="28"/>
      <c r="F13" s="72"/>
      <c r="G13" s="72"/>
      <c r="H13" s="72"/>
      <c r="I13" s="72"/>
      <c r="J13" s="72"/>
      <c r="K13" s="72"/>
      <c r="L13" s="30"/>
      <c r="M13" s="2"/>
      <c r="N13" s="2"/>
      <c r="O13" s="2"/>
      <c r="P13" s="2"/>
      <c r="Q13" s="2"/>
      <c r="R13" s="2"/>
      <c r="S13" s="2"/>
      <c r="T13" s="2"/>
      <c r="U13" s="2"/>
      <c r="V13" s="2"/>
      <c r="W13" s="2"/>
      <c r="X13" s="2"/>
      <c r="Y13" s="2"/>
      <c r="Z13" s="2"/>
      <c r="AA13" s="2"/>
      <c r="AB13" s="2"/>
      <c r="AC13" s="2"/>
      <c r="AD13" s="2"/>
      <c r="AE13" s="2"/>
      <c r="AF13" s="2"/>
      <c r="AG13" s="2"/>
      <c r="AH13" s="1"/>
      <c r="AI13" s="1"/>
      <c r="AJ13" s="1"/>
      <c r="AK13" s="1"/>
      <c r="AL13" s="1"/>
      <c r="AM13" s="1"/>
    </row>
    <row r="14" spans="1:39" ht="20.100000000000001" customHeight="1" x14ac:dyDescent="0.3">
      <c r="A14"/>
      <c r="B14" s="34"/>
      <c r="C14" s="56"/>
      <c r="D14" s="42"/>
      <c r="E14" s="6"/>
      <c r="F14" s="70">
        <f t="shared" ref="F14:K14" si="0">SUM(F12:F13)</f>
        <v>0</v>
      </c>
      <c r="G14" s="70">
        <f t="shared" si="0"/>
        <v>1</v>
      </c>
      <c r="H14" s="70">
        <f t="shared" si="0"/>
        <v>0</v>
      </c>
      <c r="I14" s="70">
        <f t="shared" si="0"/>
        <v>0</v>
      </c>
      <c r="J14" s="70">
        <f t="shared" si="0"/>
        <v>0</v>
      </c>
      <c r="K14" s="70">
        <f t="shared" si="0"/>
        <v>1</v>
      </c>
      <c r="L14" s="11"/>
      <c r="M14" s="2"/>
      <c r="N14" s="2"/>
      <c r="O14" s="2"/>
      <c r="P14" s="2"/>
      <c r="Q14" s="2"/>
      <c r="R14" s="2"/>
      <c r="S14" s="2"/>
      <c r="T14" s="2"/>
      <c r="U14" s="2"/>
      <c r="V14" s="2"/>
      <c r="W14" s="2"/>
      <c r="X14" s="2"/>
      <c r="Y14" s="2"/>
      <c r="Z14" s="2"/>
      <c r="AA14" s="2"/>
      <c r="AB14" s="2"/>
      <c r="AC14" s="2"/>
      <c r="AD14" s="2"/>
      <c r="AE14" s="2"/>
      <c r="AF14" s="2"/>
      <c r="AG14" s="2"/>
      <c r="AH14" s="1"/>
      <c r="AI14" s="1"/>
      <c r="AJ14" s="1"/>
      <c r="AK14" s="1"/>
      <c r="AL14" s="1"/>
      <c r="AM14" s="1"/>
    </row>
    <row r="15" spans="1:39" ht="20.100000000000001" customHeight="1" thickBot="1" x14ac:dyDescent="0.35">
      <c r="A15"/>
      <c r="B15" s="52"/>
      <c r="C15" s="152" t="s">
        <v>27</v>
      </c>
      <c r="D15" s="53"/>
      <c r="E15" s="35"/>
      <c r="F15" s="70"/>
      <c r="G15" s="70"/>
      <c r="H15" s="70"/>
      <c r="I15" s="70"/>
      <c r="J15" s="70"/>
      <c r="K15" s="70"/>
      <c r="L15" s="1"/>
      <c r="M15" s="2"/>
      <c r="N15" s="2"/>
      <c r="O15" s="2"/>
      <c r="P15" s="2"/>
      <c r="Q15" s="2"/>
      <c r="R15" s="2"/>
      <c r="S15" s="2"/>
      <c r="T15" s="2"/>
      <c r="U15" s="2"/>
      <c r="V15" s="2"/>
      <c r="W15" s="2"/>
      <c r="X15" s="2"/>
      <c r="Y15" s="2"/>
      <c r="Z15" s="2"/>
      <c r="AA15" s="2"/>
      <c r="AB15" s="2"/>
      <c r="AC15" s="2"/>
      <c r="AD15" s="2"/>
      <c r="AE15" s="2"/>
      <c r="AF15" s="2"/>
      <c r="AG15" s="2"/>
      <c r="AH15" s="1"/>
      <c r="AI15" s="1"/>
      <c r="AJ15" s="1"/>
      <c r="AK15" s="1"/>
      <c r="AL15" s="1"/>
      <c r="AM15" s="1"/>
    </row>
    <row r="16" spans="1:39" ht="20.100000000000001" customHeight="1" x14ac:dyDescent="0.3">
      <c r="A16"/>
      <c r="B16" s="67"/>
      <c r="C16" s="18" t="s">
        <v>14</v>
      </c>
      <c r="D16" s="40" t="s">
        <v>15</v>
      </c>
      <c r="E16" s="19" t="s">
        <v>16</v>
      </c>
      <c r="F16" s="20" t="s">
        <v>17</v>
      </c>
      <c r="G16" s="20" t="s">
        <v>18</v>
      </c>
      <c r="H16" s="20" t="s">
        <v>19</v>
      </c>
      <c r="I16" s="20" t="s">
        <v>20</v>
      </c>
      <c r="J16" s="20" t="s">
        <v>21</v>
      </c>
      <c r="K16" s="137" t="s">
        <v>22</v>
      </c>
      <c r="L16" s="21" t="s">
        <v>23</v>
      </c>
      <c r="M16" s="2"/>
      <c r="N16" s="2"/>
      <c r="O16" s="2"/>
      <c r="P16" s="2"/>
      <c r="Q16" s="2"/>
      <c r="R16" s="2"/>
      <c r="S16" s="2"/>
      <c r="T16" s="2"/>
      <c r="U16" s="2"/>
      <c r="V16" s="2"/>
      <c r="W16" s="2"/>
      <c r="X16" s="2"/>
      <c r="Y16" s="2"/>
      <c r="Z16" s="2"/>
      <c r="AA16" s="2"/>
      <c r="AB16" s="2"/>
      <c r="AC16" s="2"/>
      <c r="AD16" s="2"/>
      <c r="AE16" s="2"/>
      <c r="AF16" s="2"/>
      <c r="AG16" s="2"/>
      <c r="AH16" s="1"/>
      <c r="AI16" s="1"/>
      <c r="AJ16" s="1"/>
      <c r="AK16" s="1"/>
      <c r="AL16" s="1"/>
      <c r="AM16" s="1"/>
    </row>
    <row r="17" spans="1:39" ht="30" x14ac:dyDescent="0.3">
      <c r="A17"/>
      <c r="B17" s="34"/>
      <c r="C17" s="59" t="s">
        <v>28</v>
      </c>
      <c r="D17" s="32" t="s">
        <v>29</v>
      </c>
      <c r="E17" s="32" t="s">
        <v>30</v>
      </c>
      <c r="F17" s="73">
        <v>1</v>
      </c>
      <c r="G17" s="73"/>
      <c r="H17" s="73"/>
      <c r="I17" s="73"/>
      <c r="J17" s="73"/>
      <c r="K17" s="73">
        <v>1</v>
      </c>
      <c r="L17" s="173" t="s">
        <v>365</v>
      </c>
      <c r="M17" s="2"/>
      <c r="N17" s="2"/>
      <c r="O17" s="2"/>
      <c r="P17" s="2"/>
      <c r="Q17" s="2"/>
      <c r="R17" s="2"/>
      <c r="S17" s="2"/>
      <c r="T17" s="2"/>
      <c r="U17" s="2"/>
      <c r="V17" s="2"/>
      <c r="W17" s="2"/>
      <c r="X17" s="2"/>
      <c r="Y17" s="2"/>
      <c r="Z17" s="2"/>
      <c r="AA17" s="2"/>
      <c r="AB17" s="2"/>
      <c r="AC17" s="2"/>
      <c r="AD17" s="2"/>
      <c r="AE17" s="2"/>
      <c r="AF17" s="2"/>
      <c r="AG17" s="2"/>
      <c r="AH17" s="1"/>
      <c r="AI17" s="1"/>
      <c r="AJ17" s="1"/>
      <c r="AK17" s="1"/>
      <c r="AL17" s="1"/>
      <c r="AM17" s="1"/>
    </row>
    <row r="18" spans="1:39" ht="208.8" x14ac:dyDescent="0.3">
      <c r="A18"/>
      <c r="B18" s="34"/>
      <c r="C18" s="59" t="s">
        <v>31</v>
      </c>
      <c r="D18" s="32" t="s">
        <v>32</v>
      </c>
      <c r="E18" s="32" t="s">
        <v>33</v>
      </c>
      <c r="F18" s="73"/>
      <c r="G18" s="73">
        <v>1</v>
      </c>
      <c r="H18" s="73"/>
      <c r="I18" s="73"/>
      <c r="J18" s="73"/>
      <c r="K18" s="73">
        <v>1</v>
      </c>
      <c r="L18" s="174" t="s">
        <v>362</v>
      </c>
      <c r="M18" s="2"/>
      <c r="N18" s="2"/>
      <c r="O18" s="2"/>
      <c r="P18" s="2"/>
      <c r="Q18" s="2"/>
      <c r="R18" s="2"/>
      <c r="S18" s="2"/>
      <c r="T18" s="2"/>
      <c r="U18" s="2"/>
      <c r="V18" s="2"/>
      <c r="W18" s="2"/>
      <c r="X18" s="2"/>
      <c r="Y18" s="2"/>
      <c r="Z18" s="2"/>
      <c r="AA18" s="2"/>
      <c r="AB18" s="2"/>
      <c r="AC18" s="2"/>
      <c r="AD18" s="2"/>
      <c r="AE18" s="2"/>
      <c r="AF18" s="2"/>
      <c r="AG18" s="2"/>
      <c r="AH18" s="1"/>
      <c r="AI18" s="1"/>
      <c r="AJ18" s="1"/>
      <c r="AK18" s="1"/>
      <c r="AL18" s="1"/>
      <c r="AM18" s="1"/>
    </row>
    <row r="19" spans="1:39" ht="20.100000000000001" customHeight="1" x14ac:dyDescent="0.3">
      <c r="A19"/>
      <c r="B19" s="34"/>
      <c r="C19" s="63" t="s">
        <v>34</v>
      </c>
      <c r="D19" s="32" t="s">
        <v>35</v>
      </c>
      <c r="E19" s="61"/>
      <c r="F19" s="74"/>
      <c r="G19" s="74">
        <v>1</v>
      </c>
      <c r="H19" s="74"/>
      <c r="I19" s="74"/>
      <c r="J19" s="74"/>
      <c r="K19" s="74">
        <v>1</v>
      </c>
      <c r="L19" s="62" t="s">
        <v>366</v>
      </c>
      <c r="M19" s="2"/>
      <c r="N19" s="2"/>
      <c r="O19" s="2"/>
      <c r="P19" s="2"/>
      <c r="Q19" s="2"/>
      <c r="R19" s="2"/>
      <c r="S19" s="2"/>
      <c r="T19" s="2"/>
      <c r="U19" s="2"/>
      <c r="V19" s="2"/>
      <c r="W19" s="2"/>
      <c r="X19" s="2"/>
      <c r="Y19" s="2"/>
      <c r="Z19" s="2"/>
      <c r="AA19" s="2"/>
      <c r="AB19" s="2"/>
      <c r="AC19" s="2"/>
      <c r="AD19" s="2"/>
      <c r="AE19" s="2"/>
      <c r="AF19" s="2"/>
      <c r="AG19" s="2"/>
      <c r="AH19" s="1"/>
      <c r="AI19" s="1"/>
      <c r="AJ19" s="1"/>
      <c r="AK19" s="1"/>
      <c r="AL19" s="1"/>
      <c r="AM19" s="1"/>
    </row>
    <row r="20" spans="1:39" ht="33.9" customHeight="1" x14ac:dyDescent="0.3">
      <c r="A20"/>
      <c r="B20" s="34"/>
      <c r="C20" s="66" t="s">
        <v>36</v>
      </c>
      <c r="D20" s="61" t="s">
        <v>36</v>
      </c>
      <c r="E20" s="61" t="s">
        <v>37</v>
      </c>
      <c r="F20" s="74"/>
      <c r="G20" s="74">
        <v>1</v>
      </c>
      <c r="H20" s="74"/>
      <c r="I20" s="74"/>
      <c r="J20" s="74"/>
      <c r="K20" s="74">
        <v>1</v>
      </c>
      <c r="L20" s="62" t="s">
        <v>366</v>
      </c>
      <c r="M20" s="2"/>
      <c r="N20" s="2"/>
      <c r="O20" s="2"/>
      <c r="P20" s="2"/>
      <c r="Q20" s="2"/>
      <c r="R20" s="2"/>
      <c r="S20" s="2"/>
      <c r="T20" s="2"/>
      <c r="U20" s="2"/>
      <c r="V20" s="2"/>
      <c r="W20" s="2"/>
      <c r="X20" s="2"/>
      <c r="Y20" s="2"/>
      <c r="Z20" s="2"/>
      <c r="AA20" s="2"/>
      <c r="AB20" s="2"/>
      <c r="AC20" s="2"/>
      <c r="AD20" s="2"/>
      <c r="AE20" s="2"/>
      <c r="AF20" s="2"/>
      <c r="AG20" s="2"/>
      <c r="AH20" s="1"/>
      <c r="AI20" s="1"/>
      <c r="AJ20" s="1"/>
      <c r="AK20" s="1"/>
      <c r="AL20" s="1"/>
      <c r="AM20" s="1"/>
    </row>
    <row r="21" spans="1:39" ht="33.9" customHeight="1" x14ac:dyDescent="0.3">
      <c r="A21"/>
      <c r="B21" s="34"/>
      <c r="C21" s="66" t="s">
        <v>38</v>
      </c>
      <c r="D21" s="61" t="s">
        <v>38</v>
      </c>
      <c r="E21" s="61" t="s">
        <v>39</v>
      </c>
      <c r="F21" s="74"/>
      <c r="G21" s="74">
        <v>1</v>
      </c>
      <c r="H21" s="74"/>
      <c r="I21" s="74"/>
      <c r="J21" s="74"/>
      <c r="K21" s="74">
        <v>1</v>
      </c>
      <c r="L21" s="62" t="s">
        <v>366</v>
      </c>
      <c r="M21" s="2"/>
      <c r="N21" s="2"/>
      <c r="O21" s="2"/>
      <c r="P21" s="2"/>
      <c r="Q21" s="2"/>
      <c r="R21" s="2"/>
      <c r="S21" s="2"/>
      <c r="T21" s="2"/>
      <c r="U21" s="2"/>
      <c r="V21" s="2"/>
      <c r="W21" s="2"/>
      <c r="X21" s="2"/>
      <c r="Y21" s="2"/>
      <c r="Z21" s="2"/>
      <c r="AA21" s="2"/>
      <c r="AB21" s="2"/>
      <c r="AC21" s="2"/>
      <c r="AD21" s="2"/>
      <c r="AE21" s="2"/>
      <c r="AF21" s="2"/>
      <c r="AG21" s="2"/>
      <c r="AH21" s="1"/>
      <c r="AI21" s="1"/>
      <c r="AJ21" s="1"/>
      <c r="AK21" s="1"/>
      <c r="AL21" s="1"/>
      <c r="AM21" s="1"/>
    </row>
    <row r="22" spans="1:39" ht="33.9" customHeight="1" x14ac:dyDescent="0.3">
      <c r="A22"/>
      <c r="B22" s="34"/>
      <c r="C22" s="66" t="s">
        <v>40</v>
      </c>
      <c r="D22" s="61" t="s">
        <v>40</v>
      </c>
      <c r="E22" s="61" t="s">
        <v>41</v>
      </c>
      <c r="F22" s="74"/>
      <c r="G22" s="74">
        <v>1</v>
      </c>
      <c r="H22" s="74"/>
      <c r="I22" s="74"/>
      <c r="J22" s="74"/>
      <c r="K22" s="74">
        <v>1</v>
      </c>
      <c r="L22" s="62" t="s">
        <v>366</v>
      </c>
      <c r="M22" s="2"/>
      <c r="N22" s="2"/>
      <c r="O22" s="2"/>
      <c r="P22" s="2"/>
      <c r="Q22" s="2"/>
      <c r="R22" s="2"/>
      <c r="S22" s="2"/>
      <c r="T22" s="2"/>
      <c r="U22" s="2"/>
      <c r="V22" s="2"/>
      <c r="W22" s="2"/>
      <c r="X22" s="2"/>
      <c r="Y22" s="2"/>
      <c r="Z22" s="2"/>
      <c r="AA22" s="2"/>
      <c r="AB22" s="2"/>
      <c r="AC22" s="2"/>
      <c r="AD22" s="2"/>
      <c r="AE22" s="2"/>
      <c r="AF22" s="2"/>
      <c r="AG22" s="2"/>
      <c r="AH22" s="1"/>
      <c r="AI22" s="1"/>
      <c r="AJ22" s="1"/>
      <c r="AK22" s="1"/>
      <c r="AL22" s="1"/>
      <c r="AM22" s="1"/>
    </row>
    <row r="23" spans="1:39" ht="33.9" customHeight="1" x14ac:dyDescent="0.3">
      <c r="A23"/>
      <c r="B23" s="34"/>
      <c r="C23" s="66" t="s">
        <v>42</v>
      </c>
      <c r="D23" s="61" t="s">
        <v>42</v>
      </c>
      <c r="E23" s="61" t="s">
        <v>33</v>
      </c>
      <c r="F23" s="74"/>
      <c r="G23" s="74">
        <v>1</v>
      </c>
      <c r="H23" s="74"/>
      <c r="I23" s="74"/>
      <c r="J23" s="74"/>
      <c r="K23" s="74">
        <v>1</v>
      </c>
      <c r="L23" s="62" t="s">
        <v>366</v>
      </c>
      <c r="M23" s="2"/>
      <c r="N23" s="2"/>
      <c r="O23" s="2"/>
      <c r="P23" s="2"/>
      <c r="Q23" s="2"/>
      <c r="R23" s="2"/>
      <c r="S23" s="2"/>
      <c r="T23" s="2"/>
      <c r="U23" s="2"/>
      <c r="V23" s="2"/>
      <c r="W23" s="2"/>
      <c r="X23" s="2"/>
      <c r="Y23" s="2"/>
      <c r="Z23" s="2"/>
      <c r="AA23" s="2"/>
      <c r="AB23" s="2"/>
      <c r="AC23" s="2"/>
      <c r="AD23" s="2"/>
      <c r="AE23" s="2"/>
      <c r="AF23" s="2"/>
      <c r="AG23" s="2"/>
      <c r="AH23" s="1"/>
      <c r="AI23" s="1"/>
      <c r="AJ23" s="1"/>
      <c r="AK23" s="1"/>
      <c r="AL23" s="1"/>
      <c r="AM23" s="1"/>
    </row>
    <row r="24" spans="1:39" ht="33.9" customHeight="1" x14ac:dyDescent="0.3">
      <c r="A24"/>
      <c r="B24" s="34"/>
      <c r="C24" s="125" t="s">
        <v>43</v>
      </c>
      <c r="D24" s="32" t="s">
        <v>43</v>
      </c>
      <c r="E24" s="61" t="s">
        <v>44</v>
      </c>
      <c r="F24" s="74"/>
      <c r="G24" s="74">
        <v>1</v>
      </c>
      <c r="H24" s="74"/>
      <c r="I24" s="74"/>
      <c r="J24" s="74"/>
      <c r="K24" s="74">
        <v>1</v>
      </c>
      <c r="L24" s="62" t="s">
        <v>366</v>
      </c>
      <c r="M24" s="2"/>
      <c r="N24" s="2"/>
      <c r="O24" s="2"/>
      <c r="P24" s="2"/>
      <c r="Q24" s="2"/>
      <c r="R24" s="2"/>
      <c r="S24" s="2"/>
      <c r="T24" s="2"/>
      <c r="U24" s="2"/>
      <c r="V24" s="2"/>
      <c r="W24" s="2"/>
      <c r="X24" s="2"/>
      <c r="Y24" s="2"/>
      <c r="Z24" s="2"/>
      <c r="AA24" s="2"/>
      <c r="AB24" s="2"/>
      <c r="AC24" s="2"/>
      <c r="AD24" s="2"/>
      <c r="AE24" s="2"/>
      <c r="AF24" s="2"/>
      <c r="AG24" s="2"/>
      <c r="AH24" s="1"/>
      <c r="AI24" s="1"/>
      <c r="AJ24" s="1"/>
      <c r="AK24" s="1"/>
      <c r="AL24" s="1"/>
      <c r="AM24" s="1"/>
    </row>
    <row r="25" spans="1:39" ht="75.75" customHeight="1" x14ac:dyDescent="0.3">
      <c r="A25"/>
      <c r="B25" s="34"/>
      <c r="C25" s="63" t="s">
        <v>45</v>
      </c>
      <c r="D25" s="61" t="s">
        <v>46</v>
      </c>
      <c r="E25" s="61" t="s">
        <v>47</v>
      </c>
      <c r="F25" s="74"/>
      <c r="G25" s="74">
        <v>1</v>
      </c>
      <c r="H25" s="74"/>
      <c r="I25" s="74"/>
      <c r="J25" s="74"/>
      <c r="K25" s="74">
        <v>1</v>
      </c>
      <c r="L25" s="176" t="s">
        <v>367</v>
      </c>
      <c r="M25" s="2"/>
      <c r="N25" s="2"/>
      <c r="O25" s="2"/>
      <c r="P25" s="2"/>
      <c r="Q25" s="2"/>
      <c r="R25" s="2"/>
      <c r="S25" s="2"/>
      <c r="T25" s="2"/>
      <c r="U25" s="2"/>
      <c r="V25" s="2"/>
      <c r="W25" s="2"/>
      <c r="X25" s="2"/>
      <c r="Y25" s="2"/>
      <c r="Z25" s="2"/>
      <c r="AA25" s="2"/>
      <c r="AB25" s="2"/>
      <c r="AC25" s="2"/>
      <c r="AD25" s="2"/>
      <c r="AE25" s="2"/>
      <c r="AF25" s="2"/>
      <c r="AG25" s="2"/>
      <c r="AH25" s="1"/>
      <c r="AI25" s="1"/>
      <c r="AJ25" s="1"/>
      <c r="AK25" s="1"/>
      <c r="AL25" s="1"/>
      <c r="AM25" s="1"/>
    </row>
    <row r="26" spans="1:39" ht="72" customHeight="1" x14ac:dyDescent="0.3">
      <c r="A26"/>
      <c r="B26" s="34"/>
      <c r="C26" s="63" t="s">
        <v>48</v>
      </c>
      <c r="D26" s="61" t="s">
        <v>46</v>
      </c>
      <c r="E26" s="61" t="s">
        <v>49</v>
      </c>
      <c r="F26" s="74"/>
      <c r="G26" s="74">
        <v>1</v>
      </c>
      <c r="H26" s="74"/>
      <c r="I26" s="74"/>
      <c r="J26" s="74"/>
      <c r="K26" s="74">
        <v>1</v>
      </c>
      <c r="L26" s="62" t="s">
        <v>366</v>
      </c>
      <c r="M26" s="2"/>
      <c r="N26" s="2"/>
      <c r="O26" s="2"/>
      <c r="P26" s="2"/>
      <c r="Q26" s="2"/>
      <c r="R26" s="2"/>
      <c r="S26" s="2"/>
      <c r="T26" s="2"/>
      <c r="U26" s="2"/>
      <c r="V26" s="2"/>
      <c r="W26" s="2"/>
      <c r="X26" s="2"/>
      <c r="Y26" s="2"/>
      <c r="Z26" s="2"/>
      <c r="AA26" s="2"/>
      <c r="AB26" s="2"/>
      <c r="AC26" s="2"/>
      <c r="AD26" s="2"/>
      <c r="AE26" s="2"/>
      <c r="AF26" s="2"/>
      <c r="AG26" s="2"/>
      <c r="AH26" s="1"/>
      <c r="AI26" s="1"/>
      <c r="AJ26" s="1"/>
      <c r="AK26" s="1"/>
      <c r="AL26" s="1"/>
      <c r="AM26" s="1"/>
    </row>
    <row r="27" spans="1:39" ht="33.9" customHeight="1" x14ac:dyDescent="0.3">
      <c r="A27"/>
      <c r="B27" s="34"/>
      <c r="C27" s="63" t="s">
        <v>50</v>
      </c>
      <c r="D27" s="61" t="s">
        <v>51</v>
      </c>
      <c r="E27" s="127" t="s">
        <v>52</v>
      </c>
      <c r="F27" s="74"/>
      <c r="G27" s="74">
        <v>1</v>
      </c>
      <c r="H27" s="74"/>
      <c r="I27" s="74"/>
      <c r="J27" s="74"/>
      <c r="K27" s="74">
        <v>1</v>
      </c>
      <c r="L27" s="174" t="s">
        <v>362</v>
      </c>
      <c r="M27" s="2"/>
      <c r="N27" s="2"/>
      <c r="O27" s="2"/>
      <c r="P27" s="2"/>
      <c r="Q27" s="2"/>
      <c r="R27" s="2"/>
      <c r="S27" s="2"/>
      <c r="T27" s="2"/>
      <c r="U27" s="2"/>
      <c r="V27" s="2"/>
      <c r="W27" s="2"/>
      <c r="X27" s="2"/>
      <c r="Y27" s="2"/>
      <c r="Z27" s="2"/>
      <c r="AA27" s="2"/>
      <c r="AB27" s="2"/>
      <c r="AC27" s="2"/>
      <c r="AD27" s="2"/>
      <c r="AE27" s="2"/>
      <c r="AF27" s="2"/>
      <c r="AG27" s="2"/>
      <c r="AH27" s="1"/>
      <c r="AI27" s="1"/>
      <c r="AJ27" s="1"/>
      <c r="AK27" s="1"/>
      <c r="AL27" s="1"/>
      <c r="AM27" s="1"/>
    </row>
    <row r="28" spans="1:39" ht="47.25" customHeight="1" x14ac:dyDescent="0.3">
      <c r="A28"/>
      <c r="B28" s="34"/>
      <c r="C28" s="63" t="s">
        <v>53</v>
      </c>
      <c r="D28" s="61" t="s">
        <v>54</v>
      </c>
      <c r="E28" s="127" t="s">
        <v>55</v>
      </c>
      <c r="F28" s="74"/>
      <c r="G28" s="74">
        <v>1</v>
      </c>
      <c r="H28" s="74"/>
      <c r="I28" s="74"/>
      <c r="J28" s="74"/>
      <c r="K28" s="74">
        <v>1</v>
      </c>
      <c r="L28" s="62" t="s">
        <v>368</v>
      </c>
      <c r="M28" s="2"/>
      <c r="N28" s="2"/>
      <c r="O28" s="2"/>
      <c r="P28" s="2"/>
      <c r="Q28" s="2"/>
      <c r="R28" s="2"/>
      <c r="S28" s="2"/>
      <c r="T28" s="2"/>
      <c r="U28" s="2"/>
      <c r="V28" s="2"/>
      <c r="W28" s="2"/>
      <c r="X28" s="2"/>
      <c r="Y28" s="2"/>
      <c r="Z28" s="2"/>
      <c r="AA28" s="2"/>
      <c r="AB28" s="2"/>
      <c r="AC28" s="2"/>
      <c r="AD28" s="2"/>
      <c r="AE28" s="2"/>
      <c r="AF28" s="2"/>
      <c r="AG28" s="2"/>
      <c r="AH28" s="1"/>
      <c r="AI28" s="1"/>
      <c r="AJ28" s="1"/>
      <c r="AK28" s="1"/>
      <c r="AL28" s="1"/>
      <c r="AM28" s="1"/>
    </row>
    <row r="29" spans="1:39" ht="33.9" customHeight="1" thickBot="1" x14ac:dyDescent="0.35">
      <c r="A29"/>
      <c r="B29" s="34"/>
      <c r="C29" s="49" t="s">
        <v>56</v>
      </c>
      <c r="D29" s="119" t="s">
        <v>57</v>
      </c>
      <c r="E29" s="120" t="s">
        <v>52</v>
      </c>
      <c r="F29" s="75"/>
      <c r="G29" s="75">
        <v>1</v>
      </c>
      <c r="H29" s="75"/>
      <c r="I29" s="75"/>
      <c r="J29" s="75"/>
      <c r="K29" s="75">
        <v>1</v>
      </c>
      <c r="L29" s="177" t="s">
        <v>369</v>
      </c>
      <c r="M29" s="2"/>
      <c r="N29" s="2"/>
      <c r="O29" s="2"/>
      <c r="P29" s="2"/>
      <c r="Q29" s="2"/>
      <c r="R29" s="2"/>
      <c r="S29" s="2"/>
      <c r="T29" s="2"/>
      <c r="U29" s="2"/>
      <c r="V29" s="2"/>
      <c r="W29" s="2"/>
      <c r="X29" s="2"/>
      <c r="Y29" s="2"/>
      <c r="Z29" s="2"/>
      <c r="AA29" s="2"/>
      <c r="AB29" s="2"/>
      <c r="AC29" s="2"/>
      <c r="AD29" s="2"/>
      <c r="AE29" s="2"/>
      <c r="AF29" s="2"/>
      <c r="AG29" s="2"/>
      <c r="AH29" s="1"/>
      <c r="AI29" s="1"/>
      <c r="AJ29" s="1"/>
      <c r="AK29" s="1"/>
      <c r="AL29" s="1"/>
      <c r="AM29" s="1"/>
    </row>
    <row r="30" spans="1:39" ht="20.100000000000001" customHeight="1" x14ac:dyDescent="0.3">
      <c r="A30"/>
      <c r="B30" s="34"/>
      <c r="C30" s="16"/>
      <c r="D30" s="45"/>
      <c r="E30" s="35"/>
      <c r="F30" s="70">
        <f t="shared" ref="F30:K30" si="1">SUM(F17:F29)</f>
        <v>1</v>
      </c>
      <c r="G30" s="70">
        <f t="shared" si="1"/>
        <v>12</v>
      </c>
      <c r="H30" s="70">
        <f t="shared" si="1"/>
        <v>0</v>
      </c>
      <c r="I30" s="70">
        <f t="shared" si="1"/>
        <v>0</v>
      </c>
      <c r="J30" s="70">
        <f t="shared" si="1"/>
        <v>0</v>
      </c>
      <c r="K30" s="70">
        <f t="shared" si="1"/>
        <v>13</v>
      </c>
      <c r="L30" s="2"/>
      <c r="M30" s="2"/>
      <c r="N30" s="2"/>
      <c r="O30" s="2"/>
      <c r="P30" s="2"/>
      <c r="Q30" s="2"/>
      <c r="R30" s="2"/>
      <c r="S30" s="2"/>
      <c r="T30" s="2"/>
      <c r="U30" s="2"/>
      <c r="V30" s="2"/>
      <c r="W30" s="2"/>
      <c r="X30" s="2"/>
      <c r="Y30" s="2"/>
      <c r="Z30" s="2"/>
      <c r="AA30" s="2"/>
      <c r="AB30" s="2"/>
      <c r="AC30" s="2"/>
      <c r="AD30" s="2"/>
      <c r="AE30" s="2"/>
      <c r="AF30" s="2"/>
      <c r="AG30" s="2"/>
      <c r="AH30" s="1"/>
      <c r="AI30" s="1"/>
      <c r="AJ30" s="1"/>
      <c r="AK30" s="1"/>
      <c r="AL30" s="1"/>
      <c r="AM30" s="1"/>
    </row>
    <row r="31" spans="1:39" ht="20.100000000000001" customHeight="1" thickBot="1" x14ac:dyDescent="0.35">
      <c r="A31"/>
      <c r="B31" s="52"/>
      <c r="C31" s="166" t="s">
        <v>58</v>
      </c>
      <c r="D31" s="167"/>
      <c r="E31" s="15"/>
      <c r="F31" s="76"/>
      <c r="G31" s="76"/>
      <c r="H31" s="76"/>
      <c r="I31" s="76"/>
      <c r="J31" s="76"/>
      <c r="K31" s="76"/>
      <c r="L31" s="11"/>
      <c r="M31" s="2"/>
      <c r="N31" s="2"/>
      <c r="O31" s="2"/>
      <c r="P31" s="2"/>
      <c r="Q31" s="2"/>
      <c r="R31" s="2"/>
      <c r="S31" s="2"/>
      <c r="T31" s="2"/>
      <c r="U31" s="2"/>
      <c r="V31" s="2"/>
      <c r="W31" s="2"/>
      <c r="X31" s="2"/>
      <c r="Y31" s="2"/>
      <c r="Z31" s="2"/>
      <c r="AA31" s="2"/>
      <c r="AB31" s="2"/>
      <c r="AC31" s="2"/>
      <c r="AD31" s="2"/>
      <c r="AE31" s="2"/>
      <c r="AF31" s="2"/>
      <c r="AG31" s="2"/>
      <c r="AH31" s="1"/>
      <c r="AI31" s="1"/>
      <c r="AJ31" s="1"/>
      <c r="AK31" s="1"/>
      <c r="AL31" s="1"/>
      <c r="AM31" s="1"/>
    </row>
    <row r="32" spans="1:39" ht="20.100000000000001" customHeight="1" x14ac:dyDescent="0.3">
      <c r="A32"/>
      <c r="B32" s="67"/>
      <c r="C32" s="18" t="s">
        <v>14</v>
      </c>
      <c r="D32" s="40" t="s">
        <v>15</v>
      </c>
      <c r="E32" s="19" t="s">
        <v>16</v>
      </c>
      <c r="F32" s="20" t="s">
        <v>17</v>
      </c>
      <c r="G32" s="20" t="s">
        <v>18</v>
      </c>
      <c r="H32" s="20" t="s">
        <v>19</v>
      </c>
      <c r="I32" s="20" t="s">
        <v>20</v>
      </c>
      <c r="J32" s="20" t="s">
        <v>21</v>
      </c>
      <c r="K32" s="137" t="s">
        <v>22</v>
      </c>
      <c r="L32" s="21" t="s">
        <v>23</v>
      </c>
      <c r="M32" s="2"/>
      <c r="N32" s="2"/>
      <c r="O32" s="2"/>
      <c r="P32" s="2"/>
      <c r="Q32" s="2"/>
      <c r="R32" s="2"/>
      <c r="S32" s="2"/>
      <c r="T32" s="2"/>
      <c r="U32" s="2"/>
      <c r="V32" s="2"/>
      <c r="W32" s="2"/>
      <c r="X32" s="2"/>
      <c r="Y32" s="2"/>
      <c r="Z32" s="2"/>
      <c r="AA32" s="2"/>
      <c r="AB32" s="2"/>
      <c r="AC32" s="2"/>
      <c r="AD32" s="2"/>
      <c r="AE32" s="2"/>
      <c r="AF32" s="2"/>
      <c r="AG32" s="2"/>
      <c r="AH32" s="1"/>
      <c r="AI32" s="1"/>
      <c r="AJ32" s="1"/>
      <c r="AK32" s="1"/>
      <c r="AL32" s="1"/>
      <c r="AM32" s="1"/>
    </row>
    <row r="33" spans="1:39" ht="270.60000000000002" x14ac:dyDescent="0.3">
      <c r="A33"/>
      <c r="B33" s="67"/>
      <c r="C33" s="58" t="s">
        <v>59</v>
      </c>
      <c r="D33" s="128" t="s">
        <v>60</v>
      </c>
      <c r="E33" s="129" t="s">
        <v>61</v>
      </c>
      <c r="F33" s="132"/>
      <c r="G33" s="77">
        <v>1</v>
      </c>
      <c r="H33" s="68"/>
      <c r="I33" s="68"/>
      <c r="J33" s="68"/>
      <c r="K33" s="77">
        <v>1</v>
      </c>
      <c r="L33" s="175" t="s">
        <v>364</v>
      </c>
      <c r="M33" s="2"/>
      <c r="N33" s="2"/>
      <c r="O33" s="2"/>
      <c r="P33" s="2"/>
      <c r="Q33" s="2"/>
      <c r="R33" s="2"/>
      <c r="S33" s="2"/>
      <c r="T33" s="2"/>
      <c r="U33" s="2"/>
      <c r="V33" s="2"/>
      <c r="W33" s="2"/>
      <c r="X33" s="2"/>
      <c r="Y33" s="2"/>
      <c r="Z33" s="2"/>
      <c r="AA33" s="2"/>
      <c r="AB33" s="2"/>
      <c r="AC33" s="2"/>
      <c r="AD33" s="2"/>
      <c r="AE33" s="2"/>
      <c r="AF33" s="2"/>
      <c r="AG33" s="2"/>
      <c r="AH33" s="1"/>
      <c r="AI33" s="1"/>
      <c r="AJ33" s="1"/>
      <c r="AK33" s="1"/>
      <c r="AL33" s="1"/>
      <c r="AM33" s="1"/>
    </row>
    <row r="34" spans="1:39" ht="30.75" customHeight="1" x14ac:dyDescent="0.3">
      <c r="A34"/>
      <c r="B34" s="34"/>
      <c r="C34" s="59" t="s">
        <v>62</v>
      </c>
      <c r="D34" s="32" t="s">
        <v>63</v>
      </c>
      <c r="E34" s="91" t="s">
        <v>64</v>
      </c>
      <c r="F34" s="77"/>
      <c r="G34" s="77">
        <v>1</v>
      </c>
      <c r="H34" s="77"/>
      <c r="I34" s="77"/>
      <c r="J34" s="77"/>
      <c r="K34" s="77">
        <v>1</v>
      </c>
      <c r="L34" s="48" t="s">
        <v>366</v>
      </c>
      <c r="M34" s="2"/>
      <c r="N34" s="2"/>
      <c r="O34" s="2"/>
      <c r="P34" s="2"/>
      <c r="Q34" s="2"/>
      <c r="R34" s="2"/>
      <c r="S34" s="2"/>
      <c r="T34" s="2"/>
      <c r="U34" s="2"/>
      <c r="V34" s="2"/>
      <c r="W34" s="2"/>
      <c r="X34" s="2"/>
      <c r="Y34" s="2"/>
      <c r="Z34" s="2"/>
      <c r="AA34" s="2"/>
      <c r="AB34" s="2"/>
      <c r="AC34" s="2"/>
      <c r="AD34" s="2"/>
      <c r="AE34" s="2"/>
      <c r="AF34" s="2"/>
      <c r="AG34" s="2"/>
      <c r="AH34" s="1"/>
      <c r="AI34" s="1"/>
      <c r="AJ34" s="1"/>
      <c r="AK34" s="1"/>
      <c r="AL34" s="1"/>
      <c r="AM34" s="1"/>
    </row>
    <row r="35" spans="1:39" ht="18.899999999999999" customHeight="1" x14ac:dyDescent="0.3">
      <c r="A35"/>
      <c r="B35" s="34"/>
      <c r="C35" s="59" t="s">
        <v>65</v>
      </c>
      <c r="D35" s="32" t="s">
        <v>66</v>
      </c>
      <c r="E35" s="129" t="s">
        <v>67</v>
      </c>
      <c r="F35" s="73"/>
      <c r="G35" s="73">
        <v>1</v>
      </c>
      <c r="H35" s="73"/>
      <c r="I35" s="73"/>
      <c r="J35" s="73"/>
      <c r="K35" s="73">
        <v>1</v>
      </c>
      <c r="L35" s="48" t="s">
        <v>366</v>
      </c>
      <c r="M35" s="2"/>
      <c r="N35" s="2"/>
      <c r="O35" s="2"/>
      <c r="P35" s="2"/>
      <c r="Q35" s="2"/>
      <c r="R35" s="2"/>
      <c r="S35" s="2"/>
      <c r="T35" s="2"/>
      <c r="U35" s="2"/>
      <c r="V35" s="2"/>
      <c r="W35" s="2"/>
      <c r="X35" s="2"/>
      <c r="Y35" s="2"/>
      <c r="Z35" s="2"/>
      <c r="AA35" s="2"/>
      <c r="AB35" s="2"/>
      <c r="AC35" s="2"/>
      <c r="AD35" s="2"/>
      <c r="AE35" s="2"/>
      <c r="AF35" s="2"/>
      <c r="AG35" s="2"/>
      <c r="AH35" s="1"/>
      <c r="AI35" s="1"/>
      <c r="AJ35" s="1"/>
      <c r="AK35" s="1"/>
      <c r="AL35" s="1"/>
      <c r="AM35" s="1"/>
    </row>
    <row r="36" spans="1:39" ht="18.899999999999999" customHeight="1" x14ac:dyDescent="0.3">
      <c r="A36"/>
      <c r="B36" s="34"/>
      <c r="C36" s="59" t="s">
        <v>68</v>
      </c>
      <c r="D36" s="32" t="s">
        <v>69</v>
      </c>
      <c r="E36" s="129" t="s">
        <v>67</v>
      </c>
      <c r="F36" s="77"/>
      <c r="G36" s="77">
        <v>1</v>
      </c>
      <c r="H36" s="77"/>
      <c r="I36" s="77"/>
      <c r="J36" s="77"/>
      <c r="K36" s="77">
        <v>1</v>
      </c>
      <c r="L36" s="48" t="s">
        <v>366</v>
      </c>
      <c r="M36" s="2"/>
      <c r="N36" s="2"/>
      <c r="O36" s="2"/>
      <c r="P36" s="2"/>
      <c r="Q36" s="2"/>
      <c r="R36" s="2"/>
      <c r="S36" s="2"/>
      <c r="T36" s="2"/>
      <c r="U36" s="2"/>
      <c r="V36" s="2"/>
      <c r="W36" s="2"/>
      <c r="X36" s="2"/>
      <c r="Y36" s="2"/>
      <c r="Z36" s="2"/>
      <c r="AA36" s="2"/>
      <c r="AB36" s="2"/>
      <c r="AC36" s="2"/>
      <c r="AD36" s="2"/>
      <c r="AE36" s="2"/>
      <c r="AF36" s="2"/>
      <c r="AG36" s="2"/>
      <c r="AH36" s="1"/>
      <c r="AI36" s="1"/>
      <c r="AJ36" s="1"/>
      <c r="AK36" s="1"/>
      <c r="AL36" s="1"/>
      <c r="AM36" s="1"/>
    </row>
    <row r="37" spans="1:39" ht="34.5" customHeight="1" x14ac:dyDescent="0.3">
      <c r="A37"/>
      <c r="B37" s="34"/>
      <c r="C37" s="59" t="s">
        <v>70</v>
      </c>
      <c r="D37" s="32" t="s">
        <v>71</v>
      </c>
      <c r="E37" s="32" t="s">
        <v>72</v>
      </c>
      <c r="F37" s="77"/>
      <c r="G37" s="77">
        <v>1</v>
      </c>
      <c r="H37" s="77"/>
      <c r="I37" s="77"/>
      <c r="J37" s="77"/>
      <c r="K37" s="77">
        <v>1</v>
      </c>
      <c r="L37" s="48" t="s">
        <v>366</v>
      </c>
      <c r="M37" s="2"/>
      <c r="N37" s="2"/>
      <c r="O37" s="2"/>
      <c r="P37" s="2"/>
      <c r="Q37" s="2"/>
      <c r="R37" s="2"/>
      <c r="S37" s="2"/>
      <c r="T37" s="2"/>
      <c r="U37" s="2"/>
      <c r="V37" s="2"/>
      <c r="W37" s="2"/>
      <c r="X37" s="2"/>
      <c r="Y37" s="2"/>
      <c r="Z37" s="2"/>
      <c r="AA37" s="2"/>
      <c r="AB37" s="2"/>
      <c r="AC37" s="2"/>
      <c r="AD37" s="2"/>
      <c r="AE37" s="2"/>
      <c r="AF37" s="2"/>
      <c r="AG37" s="2"/>
      <c r="AH37" s="1"/>
      <c r="AI37" s="1"/>
      <c r="AJ37" s="1"/>
      <c r="AK37" s="1"/>
      <c r="AL37" s="1"/>
      <c r="AM37" s="1"/>
    </row>
    <row r="38" spans="1:39" ht="18.899999999999999" customHeight="1" x14ac:dyDescent="0.3">
      <c r="A38"/>
      <c r="B38" s="34"/>
      <c r="C38" s="59" t="s">
        <v>73</v>
      </c>
      <c r="D38" s="32" t="s">
        <v>74</v>
      </c>
      <c r="E38" s="32" t="s">
        <v>75</v>
      </c>
      <c r="F38" s="73"/>
      <c r="G38" s="73">
        <v>1</v>
      </c>
      <c r="H38" s="73"/>
      <c r="I38" s="73"/>
      <c r="J38" s="73"/>
      <c r="K38" s="73">
        <v>1</v>
      </c>
      <c r="L38" s="48" t="s">
        <v>366</v>
      </c>
      <c r="M38" s="2"/>
      <c r="N38" s="2"/>
      <c r="O38" s="2"/>
      <c r="P38" s="2"/>
      <c r="Q38" s="2"/>
      <c r="R38" s="2"/>
      <c r="S38" s="2"/>
      <c r="T38" s="2"/>
      <c r="U38" s="2"/>
      <c r="V38" s="2"/>
      <c r="W38" s="2"/>
      <c r="X38" s="2"/>
      <c r="Y38" s="2"/>
      <c r="Z38" s="2"/>
      <c r="AA38" s="2"/>
      <c r="AB38" s="2"/>
      <c r="AC38" s="2"/>
      <c r="AD38" s="2"/>
      <c r="AE38" s="2"/>
      <c r="AF38" s="2"/>
      <c r="AG38" s="2"/>
      <c r="AH38" s="1"/>
      <c r="AI38" s="1"/>
      <c r="AJ38" s="1"/>
      <c r="AK38" s="1"/>
      <c r="AL38" s="1"/>
      <c r="AM38" s="1"/>
    </row>
    <row r="39" spans="1:39" ht="33.9" customHeight="1" x14ac:dyDescent="0.3">
      <c r="A39"/>
      <c r="B39" s="34"/>
      <c r="C39" s="25" t="s">
        <v>76</v>
      </c>
      <c r="D39" s="32" t="s">
        <v>77</v>
      </c>
      <c r="E39" s="32" t="s">
        <v>78</v>
      </c>
      <c r="F39" s="77"/>
      <c r="G39" s="77">
        <v>1</v>
      </c>
      <c r="H39" s="77"/>
      <c r="I39" s="77"/>
      <c r="J39" s="77"/>
      <c r="K39" s="77">
        <v>1</v>
      </c>
      <c r="L39" s="48" t="s">
        <v>366</v>
      </c>
      <c r="M39" s="2"/>
      <c r="N39" s="2"/>
      <c r="O39" s="2"/>
      <c r="P39" s="2"/>
      <c r="Q39" s="2"/>
      <c r="R39" s="2"/>
      <c r="S39" s="2"/>
      <c r="T39" s="2"/>
      <c r="U39" s="2"/>
      <c r="V39" s="2"/>
      <c r="W39" s="2"/>
      <c r="X39" s="2"/>
      <c r="Y39" s="2"/>
      <c r="Z39" s="2"/>
      <c r="AA39" s="2"/>
      <c r="AB39" s="2"/>
      <c r="AC39" s="2"/>
      <c r="AD39" s="2"/>
      <c r="AE39" s="2"/>
      <c r="AF39" s="2"/>
      <c r="AG39" s="2"/>
      <c r="AH39" s="1"/>
      <c r="AI39" s="1"/>
      <c r="AJ39" s="1"/>
      <c r="AK39" s="1"/>
      <c r="AL39" s="1"/>
      <c r="AM39" s="1"/>
    </row>
    <row r="40" spans="1:39" ht="33.9" customHeight="1" x14ac:dyDescent="0.3">
      <c r="A40"/>
      <c r="B40" s="34"/>
      <c r="C40" s="25" t="s">
        <v>79</v>
      </c>
      <c r="D40" s="32" t="s">
        <v>80</v>
      </c>
      <c r="E40" s="32" t="s">
        <v>81</v>
      </c>
      <c r="F40" s="77"/>
      <c r="G40" s="77">
        <v>1</v>
      </c>
      <c r="H40" s="77"/>
      <c r="I40" s="77"/>
      <c r="J40" s="77"/>
      <c r="K40" s="77">
        <v>1</v>
      </c>
      <c r="L40" s="48" t="s">
        <v>366</v>
      </c>
      <c r="M40" s="2"/>
      <c r="N40" s="2"/>
      <c r="O40" s="2"/>
      <c r="P40" s="2"/>
      <c r="Q40" s="2"/>
      <c r="R40" s="2"/>
      <c r="S40" s="2"/>
      <c r="T40" s="2"/>
      <c r="U40" s="2"/>
      <c r="V40" s="2"/>
      <c r="W40" s="2"/>
      <c r="X40" s="2"/>
      <c r="Y40" s="2"/>
      <c r="Z40" s="2"/>
      <c r="AA40" s="2"/>
      <c r="AB40" s="2"/>
      <c r="AC40" s="2"/>
      <c r="AD40" s="2"/>
      <c r="AE40" s="2"/>
      <c r="AF40" s="2"/>
      <c r="AG40" s="2"/>
      <c r="AH40" s="1"/>
      <c r="AI40" s="1"/>
      <c r="AJ40" s="1"/>
      <c r="AK40" s="1"/>
      <c r="AL40" s="1"/>
      <c r="AM40" s="1"/>
    </row>
    <row r="41" spans="1:39" ht="33.9" customHeight="1" x14ac:dyDescent="0.3">
      <c r="A41"/>
      <c r="B41" s="34"/>
      <c r="C41" s="57" t="s">
        <v>82</v>
      </c>
      <c r="D41" s="32" t="s">
        <v>83</v>
      </c>
      <c r="E41" s="32" t="s">
        <v>84</v>
      </c>
      <c r="F41" s="73"/>
      <c r="G41" s="73">
        <v>1</v>
      </c>
      <c r="H41" s="73"/>
      <c r="I41" s="73"/>
      <c r="J41" s="73"/>
      <c r="K41" s="73">
        <v>1</v>
      </c>
      <c r="L41" s="48" t="s">
        <v>366</v>
      </c>
      <c r="M41" s="2"/>
      <c r="N41" s="2"/>
      <c r="O41" s="2"/>
      <c r="P41" s="2"/>
      <c r="Q41" s="2"/>
      <c r="R41" s="2"/>
      <c r="S41" s="2"/>
      <c r="T41" s="2"/>
      <c r="U41" s="2"/>
      <c r="V41" s="2"/>
      <c r="W41" s="2"/>
      <c r="X41" s="2"/>
      <c r="Y41" s="2"/>
      <c r="Z41" s="2"/>
      <c r="AA41" s="2"/>
      <c r="AB41" s="2"/>
      <c r="AC41" s="2"/>
      <c r="AD41" s="2"/>
      <c r="AE41" s="2"/>
      <c r="AF41" s="2"/>
      <c r="AG41" s="2"/>
      <c r="AH41" s="1"/>
      <c r="AI41" s="1"/>
      <c r="AJ41" s="1"/>
      <c r="AK41" s="1"/>
      <c r="AL41" s="1"/>
      <c r="AM41" s="1"/>
    </row>
    <row r="42" spans="1:39" ht="46.5" customHeight="1" x14ac:dyDescent="0.3">
      <c r="A42"/>
      <c r="B42" s="34"/>
      <c r="C42" s="58" t="s">
        <v>85</v>
      </c>
      <c r="D42" s="32" t="s">
        <v>86</v>
      </c>
      <c r="E42" s="121" t="s">
        <v>87</v>
      </c>
      <c r="F42" s="77"/>
      <c r="G42" s="77">
        <v>1</v>
      </c>
      <c r="H42" s="77"/>
      <c r="I42" s="77"/>
      <c r="J42" s="77"/>
      <c r="K42" s="77">
        <v>1</v>
      </c>
      <c r="L42" s="48" t="s">
        <v>366</v>
      </c>
      <c r="M42" s="2"/>
      <c r="N42" s="2"/>
      <c r="O42" s="2"/>
      <c r="P42" s="2"/>
      <c r="Q42" s="2"/>
      <c r="R42" s="2"/>
      <c r="S42" s="2"/>
      <c r="T42" s="2"/>
      <c r="U42" s="2"/>
      <c r="V42" s="2"/>
      <c r="W42" s="2"/>
      <c r="X42" s="2"/>
      <c r="Y42" s="2"/>
      <c r="Z42" s="2"/>
      <c r="AA42" s="2"/>
      <c r="AB42" s="2"/>
      <c r="AC42" s="2"/>
      <c r="AD42" s="2"/>
      <c r="AE42" s="2"/>
      <c r="AF42" s="2"/>
      <c r="AG42" s="2"/>
      <c r="AH42" s="1"/>
      <c r="AI42" s="1"/>
      <c r="AJ42" s="1"/>
      <c r="AK42" s="1"/>
      <c r="AL42" s="1"/>
      <c r="AM42" s="1"/>
    </row>
    <row r="43" spans="1:39" ht="33.9" customHeight="1" x14ac:dyDescent="0.3">
      <c r="A43"/>
      <c r="B43" s="17"/>
      <c r="C43" s="57" t="s">
        <v>88</v>
      </c>
      <c r="D43" s="89" t="s">
        <v>89</v>
      </c>
      <c r="E43" s="14" t="s">
        <v>90</v>
      </c>
      <c r="F43" s="71"/>
      <c r="G43" s="71">
        <v>1</v>
      </c>
      <c r="H43" s="71"/>
      <c r="I43" s="71"/>
      <c r="J43" s="71"/>
      <c r="K43" s="71">
        <v>1</v>
      </c>
      <c r="L43" s="48" t="s">
        <v>366</v>
      </c>
      <c r="M43" s="2"/>
      <c r="N43" s="2"/>
      <c r="O43" s="2"/>
      <c r="P43" s="2"/>
      <c r="Q43" s="2"/>
      <c r="R43" s="2"/>
      <c r="S43" s="2"/>
      <c r="T43" s="2"/>
      <c r="U43" s="2"/>
      <c r="V43" s="2"/>
      <c r="W43" s="2"/>
      <c r="X43" s="2"/>
      <c r="Y43" s="2"/>
      <c r="Z43" s="2"/>
      <c r="AA43" s="2"/>
      <c r="AB43" s="2"/>
      <c r="AC43" s="2"/>
      <c r="AD43" s="2"/>
      <c r="AE43" s="2"/>
      <c r="AF43" s="2"/>
      <c r="AG43" s="2"/>
      <c r="AH43" s="1"/>
      <c r="AI43" s="1"/>
      <c r="AJ43" s="1"/>
      <c r="AK43" s="1"/>
      <c r="AL43" s="1"/>
      <c r="AM43" s="1"/>
    </row>
    <row r="44" spans="1:39" ht="33.9" customHeight="1" x14ac:dyDescent="0.3">
      <c r="A44"/>
      <c r="B44" s="17"/>
      <c r="C44" s="59" t="s">
        <v>91</v>
      </c>
      <c r="D44" s="32" t="s">
        <v>92</v>
      </c>
      <c r="E44" s="32" t="s">
        <v>93</v>
      </c>
      <c r="F44" s="71"/>
      <c r="G44" s="71">
        <v>1</v>
      </c>
      <c r="H44" s="71"/>
      <c r="I44" s="71"/>
      <c r="J44" s="71"/>
      <c r="K44" s="71">
        <v>1</v>
      </c>
      <c r="L44" s="48" t="s">
        <v>366</v>
      </c>
      <c r="M44" s="2"/>
      <c r="N44" s="2"/>
      <c r="O44" s="2"/>
      <c r="P44" s="2"/>
      <c r="Q44" s="2"/>
      <c r="R44" s="2"/>
      <c r="S44" s="2"/>
      <c r="T44" s="2"/>
      <c r="U44" s="2"/>
      <c r="V44" s="2"/>
      <c r="W44" s="2"/>
      <c r="X44" s="2"/>
      <c r="Y44" s="2"/>
      <c r="Z44" s="2"/>
      <c r="AA44" s="2"/>
      <c r="AB44" s="2"/>
      <c r="AC44" s="2"/>
      <c r="AD44" s="2"/>
      <c r="AE44" s="2"/>
      <c r="AF44" s="2"/>
      <c r="AG44" s="2"/>
      <c r="AH44" s="1"/>
      <c r="AI44" s="1"/>
      <c r="AJ44" s="1"/>
      <c r="AK44" s="1"/>
      <c r="AL44" s="1"/>
      <c r="AM44" s="1"/>
    </row>
    <row r="45" spans="1:39" ht="53.25" customHeight="1" x14ac:dyDescent="0.3">
      <c r="A45"/>
      <c r="B45" s="17"/>
      <c r="C45" s="58" t="s">
        <v>94</v>
      </c>
      <c r="D45" s="32" t="s">
        <v>95</v>
      </c>
      <c r="E45" s="32" t="s">
        <v>96</v>
      </c>
      <c r="F45" s="71"/>
      <c r="G45" s="71">
        <v>1</v>
      </c>
      <c r="H45" s="71"/>
      <c r="I45" s="71"/>
      <c r="J45" s="71"/>
      <c r="K45" s="71">
        <v>1</v>
      </c>
      <c r="L45" s="48" t="s">
        <v>366</v>
      </c>
      <c r="M45" s="2"/>
      <c r="N45" s="2"/>
      <c r="O45" s="2"/>
      <c r="P45" s="2"/>
      <c r="Q45" s="2"/>
      <c r="R45" s="2"/>
      <c r="S45" s="2"/>
      <c r="T45" s="2"/>
      <c r="U45" s="2"/>
      <c r="V45" s="2"/>
      <c r="W45" s="2"/>
      <c r="X45" s="2"/>
      <c r="Y45" s="2"/>
      <c r="Z45" s="2"/>
      <c r="AA45" s="2"/>
      <c r="AB45" s="2"/>
      <c r="AC45" s="2"/>
      <c r="AD45" s="2"/>
      <c r="AE45" s="2"/>
      <c r="AF45" s="2"/>
      <c r="AG45" s="2"/>
      <c r="AH45" s="1"/>
      <c r="AI45" s="1"/>
      <c r="AJ45" s="1"/>
      <c r="AK45" s="1"/>
      <c r="AL45" s="1"/>
      <c r="AM45" s="1"/>
    </row>
    <row r="46" spans="1:39" ht="33.9" customHeight="1" x14ac:dyDescent="0.3">
      <c r="A46"/>
      <c r="B46" s="17"/>
      <c r="C46" s="58" t="s">
        <v>97</v>
      </c>
      <c r="D46" s="32" t="s">
        <v>98</v>
      </c>
      <c r="E46" s="32" t="s">
        <v>99</v>
      </c>
      <c r="F46" s="71"/>
      <c r="G46" s="71">
        <v>1</v>
      </c>
      <c r="H46" s="71"/>
      <c r="I46" s="71"/>
      <c r="J46" s="71"/>
      <c r="K46" s="71">
        <v>1</v>
      </c>
      <c r="L46" s="48" t="s">
        <v>366</v>
      </c>
      <c r="M46" s="2"/>
      <c r="N46" s="2"/>
      <c r="O46" s="2"/>
      <c r="P46" s="2"/>
      <c r="Q46" s="2"/>
      <c r="R46" s="2"/>
      <c r="S46" s="2"/>
      <c r="T46" s="2"/>
      <c r="U46" s="2"/>
      <c r="V46" s="2"/>
      <c r="W46" s="2"/>
      <c r="X46" s="2"/>
      <c r="Y46" s="2"/>
      <c r="Z46" s="2"/>
      <c r="AA46" s="2"/>
      <c r="AB46" s="2"/>
      <c r="AC46" s="2"/>
      <c r="AD46" s="2"/>
      <c r="AE46" s="2"/>
      <c r="AF46" s="2"/>
      <c r="AG46" s="2"/>
      <c r="AH46" s="1"/>
      <c r="AI46" s="1"/>
      <c r="AJ46" s="1"/>
      <c r="AK46" s="1"/>
      <c r="AL46" s="1"/>
      <c r="AM46" s="1"/>
    </row>
    <row r="47" spans="1:39" ht="33.9" customHeight="1" x14ac:dyDescent="0.3">
      <c r="A47"/>
      <c r="B47" s="17"/>
      <c r="C47" s="58" t="s">
        <v>100</v>
      </c>
      <c r="D47" s="32" t="s">
        <v>101</v>
      </c>
      <c r="E47" s="32" t="s">
        <v>102</v>
      </c>
      <c r="F47" s="71"/>
      <c r="G47" s="71">
        <v>1</v>
      </c>
      <c r="H47" s="71"/>
      <c r="I47" s="71"/>
      <c r="J47" s="71"/>
      <c r="K47" s="71">
        <v>1</v>
      </c>
      <c r="L47" s="48" t="s">
        <v>366</v>
      </c>
      <c r="M47" s="2"/>
      <c r="N47" s="2"/>
      <c r="O47" s="2"/>
      <c r="P47" s="2"/>
      <c r="Q47" s="2"/>
      <c r="R47" s="2"/>
      <c r="S47" s="2"/>
      <c r="T47" s="2"/>
      <c r="U47" s="2"/>
      <c r="V47" s="2"/>
      <c r="W47" s="2"/>
      <c r="X47" s="2"/>
      <c r="Y47" s="2"/>
      <c r="Z47" s="2"/>
      <c r="AA47" s="2"/>
      <c r="AB47" s="2"/>
      <c r="AC47" s="2"/>
      <c r="AD47" s="2"/>
      <c r="AE47" s="2"/>
      <c r="AF47" s="2"/>
      <c r="AG47" s="2"/>
      <c r="AH47" s="1"/>
      <c r="AI47" s="1"/>
      <c r="AJ47" s="1"/>
      <c r="AK47" s="1"/>
      <c r="AL47" s="1"/>
      <c r="AM47" s="1"/>
    </row>
    <row r="48" spans="1:39" ht="33.9" customHeight="1" x14ac:dyDescent="0.3">
      <c r="A48"/>
      <c r="B48" s="17"/>
      <c r="C48" s="58" t="s">
        <v>103</v>
      </c>
      <c r="D48" s="32" t="s">
        <v>104</v>
      </c>
      <c r="E48" s="32" t="s">
        <v>105</v>
      </c>
      <c r="F48" s="71"/>
      <c r="G48" s="71">
        <v>1</v>
      </c>
      <c r="H48" s="71"/>
      <c r="I48" s="71"/>
      <c r="J48" s="71"/>
      <c r="K48" s="71">
        <v>1</v>
      </c>
      <c r="L48" s="48" t="s">
        <v>366</v>
      </c>
      <c r="M48" s="2"/>
      <c r="N48" s="2"/>
      <c r="O48" s="2"/>
      <c r="P48" s="2"/>
      <c r="Q48" s="2"/>
      <c r="R48" s="2"/>
      <c r="S48" s="2"/>
      <c r="T48" s="2"/>
      <c r="U48" s="2"/>
      <c r="V48" s="2"/>
      <c r="W48" s="2"/>
      <c r="X48" s="2"/>
      <c r="Y48" s="2"/>
      <c r="Z48" s="2"/>
      <c r="AA48" s="2"/>
      <c r="AB48" s="2"/>
      <c r="AC48" s="2"/>
      <c r="AD48" s="2"/>
      <c r="AE48" s="2"/>
      <c r="AF48" s="2"/>
      <c r="AG48" s="2"/>
      <c r="AH48" s="1"/>
      <c r="AI48" s="1"/>
      <c r="AJ48" s="1"/>
      <c r="AK48" s="1"/>
      <c r="AL48" s="1"/>
      <c r="AM48" s="1"/>
    </row>
    <row r="49" spans="1:39" ht="36" customHeight="1" x14ac:dyDescent="0.3">
      <c r="A49"/>
      <c r="B49" s="17"/>
      <c r="C49" s="58" t="s">
        <v>106</v>
      </c>
      <c r="D49" s="32" t="s">
        <v>107</v>
      </c>
      <c r="E49" s="154" t="s">
        <v>108</v>
      </c>
      <c r="F49" s="71"/>
      <c r="G49" s="71">
        <v>1</v>
      </c>
      <c r="H49" s="71"/>
      <c r="I49" s="71"/>
      <c r="J49" s="71"/>
      <c r="K49" s="71">
        <v>1</v>
      </c>
      <c r="L49" s="48" t="s">
        <v>366</v>
      </c>
      <c r="M49" s="2"/>
      <c r="N49" s="2"/>
      <c r="O49" s="2"/>
      <c r="P49" s="2"/>
      <c r="Q49" s="2"/>
      <c r="R49" s="2"/>
      <c r="S49" s="2"/>
      <c r="T49" s="2"/>
      <c r="U49" s="2"/>
      <c r="V49" s="2"/>
      <c r="W49" s="2"/>
      <c r="X49" s="2"/>
      <c r="Y49" s="2"/>
      <c r="Z49" s="2"/>
      <c r="AA49" s="2"/>
      <c r="AB49" s="2"/>
      <c r="AC49" s="2"/>
      <c r="AD49" s="2"/>
      <c r="AE49" s="2"/>
      <c r="AF49" s="2"/>
      <c r="AG49" s="2"/>
      <c r="AH49" s="1"/>
      <c r="AI49" s="1"/>
      <c r="AJ49" s="1"/>
      <c r="AK49" s="1"/>
      <c r="AL49" s="1"/>
      <c r="AM49" s="1"/>
    </row>
    <row r="50" spans="1:39" ht="32.25" customHeight="1" x14ac:dyDescent="0.3">
      <c r="A50"/>
      <c r="B50" s="17"/>
      <c r="C50" s="58" t="s">
        <v>109</v>
      </c>
      <c r="D50" s="32" t="s">
        <v>110</v>
      </c>
      <c r="E50" s="32" t="s">
        <v>108</v>
      </c>
      <c r="F50" s="71"/>
      <c r="G50" s="71">
        <v>1</v>
      </c>
      <c r="H50" s="71"/>
      <c r="I50" s="71"/>
      <c r="J50" s="71"/>
      <c r="K50" s="71">
        <v>1</v>
      </c>
      <c r="L50" s="48" t="s">
        <v>366</v>
      </c>
      <c r="M50" s="2"/>
      <c r="N50" s="2"/>
      <c r="O50" s="2"/>
      <c r="P50" s="2"/>
      <c r="Q50" s="2"/>
      <c r="R50" s="2"/>
      <c r="S50" s="2"/>
      <c r="T50" s="2"/>
      <c r="U50" s="2"/>
      <c r="V50" s="2"/>
      <c r="W50" s="2"/>
      <c r="X50" s="2"/>
      <c r="Y50" s="2"/>
      <c r="Z50" s="2"/>
      <c r="AA50" s="2"/>
      <c r="AB50" s="2"/>
      <c r="AC50" s="2"/>
      <c r="AD50" s="2"/>
      <c r="AE50" s="2"/>
      <c r="AF50" s="2"/>
      <c r="AG50" s="2"/>
      <c r="AH50" s="1"/>
      <c r="AI50" s="1"/>
      <c r="AJ50" s="1"/>
      <c r="AK50" s="1"/>
      <c r="AL50" s="1"/>
      <c r="AM50" s="1"/>
    </row>
    <row r="51" spans="1:39" ht="32.25" customHeight="1" x14ac:dyDescent="0.3">
      <c r="A51"/>
      <c r="B51" s="17"/>
      <c r="C51" s="58" t="s">
        <v>111</v>
      </c>
      <c r="D51" s="32" t="s">
        <v>112</v>
      </c>
      <c r="E51" s="32" t="s">
        <v>113</v>
      </c>
      <c r="F51" s="71"/>
      <c r="G51" s="71">
        <v>1</v>
      </c>
      <c r="H51" s="71"/>
      <c r="I51" s="71"/>
      <c r="J51" s="71"/>
      <c r="K51" s="71">
        <v>1</v>
      </c>
      <c r="L51" s="48" t="s">
        <v>366</v>
      </c>
      <c r="M51" s="2"/>
      <c r="N51" s="2"/>
      <c r="O51" s="2"/>
      <c r="P51" s="2"/>
      <c r="Q51" s="2"/>
      <c r="R51" s="2"/>
      <c r="S51" s="2"/>
      <c r="T51" s="2"/>
      <c r="U51" s="2"/>
      <c r="V51" s="2"/>
      <c r="W51" s="2"/>
      <c r="X51" s="2"/>
      <c r="Y51" s="2"/>
      <c r="Z51" s="2"/>
      <c r="AA51" s="2"/>
      <c r="AB51" s="2"/>
      <c r="AC51" s="2"/>
      <c r="AD51" s="2"/>
      <c r="AE51" s="2"/>
      <c r="AF51" s="2"/>
      <c r="AG51" s="2"/>
      <c r="AH51" s="1"/>
      <c r="AI51" s="1"/>
      <c r="AJ51" s="1"/>
      <c r="AK51" s="1"/>
      <c r="AL51" s="1"/>
      <c r="AM51" s="1"/>
    </row>
    <row r="52" spans="1:39" ht="33.9" customHeight="1" x14ac:dyDescent="0.3">
      <c r="A52"/>
      <c r="B52" s="17"/>
      <c r="C52" s="57" t="s">
        <v>24</v>
      </c>
      <c r="D52" s="122" t="s">
        <v>114</v>
      </c>
      <c r="E52" s="90" t="s">
        <v>115</v>
      </c>
      <c r="F52" s="71"/>
      <c r="G52" s="71">
        <v>1</v>
      </c>
      <c r="H52" s="71"/>
      <c r="I52" s="71"/>
      <c r="J52" s="71"/>
      <c r="K52" s="71">
        <v>1</v>
      </c>
      <c r="L52" s="48" t="s">
        <v>366</v>
      </c>
      <c r="M52" s="2"/>
      <c r="N52" s="2"/>
      <c r="O52" s="2"/>
      <c r="P52" s="2"/>
      <c r="Q52" s="2"/>
      <c r="R52" s="2"/>
      <c r="S52" s="2"/>
      <c r="T52" s="2"/>
      <c r="U52" s="2"/>
      <c r="V52" s="2"/>
      <c r="W52" s="2"/>
      <c r="X52" s="2"/>
      <c r="Y52" s="2"/>
      <c r="Z52" s="2"/>
      <c r="AA52" s="2"/>
      <c r="AB52" s="2"/>
      <c r="AC52" s="2"/>
      <c r="AD52" s="2"/>
      <c r="AE52" s="2"/>
      <c r="AF52" s="2"/>
      <c r="AG52" s="2"/>
      <c r="AH52" s="1"/>
      <c r="AI52" s="1"/>
      <c r="AJ52" s="1"/>
      <c r="AK52" s="1"/>
      <c r="AL52" s="1"/>
      <c r="AM52" s="1"/>
    </row>
    <row r="53" spans="1:39" ht="33.9" customHeight="1" thickBot="1" x14ac:dyDescent="0.35">
      <c r="A53"/>
      <c r="B53" s="17"/>
      <c r="C53" s="130" t="s">
        <v>116</v>
      </c>
      <c r="D53" s="131" t="s">
        <v>117</v>
      </c>
      <c r="E53" s="29" t="s">
        <v>118</v>
      </c>
      <c r="F53" s="72"/>
      <c r="G53" s="72">
        <v>1</v>
      </c>
      <c r="H53" s="72"/>
      <c r="I53" s="72"/>
      <c r="J53" s="72"/>
      <c r="K53" s="72">
        <v>1</v>
      </c>
      <c r="L53" s="48" t="s">
        <v>366</v>
      </c>
      <c r="M53" s="2"/>
      <c r="N53" s="2"/>
      <c r="O53" s="2"/>
      <c r="P53" s="2"/>
      <c r="Q53" s="2"/>
      <c r="R53" s="2"/>
      <c r="S53" s="2"/>
      <c r="T53" s="2"/>
      <c r="U53" s="2"/>
      <c r="V53" s="2"/>
      <c r="W53" s="2"/>
      <c r="X53" s="2"/>
      <c r="Y53" s="2"/>
      <c r="Z53" s="2"/>
      <c r="AA53" s="2"/>
      <c r="AB53" s="2"/>
      <c r="AC53" s="2"/>
      <c r="AD53" s="2"/>
      <c r="AE53" s="2"/>
      <c r="AF53" s="2"/>
      <c r="AG53" s="2"/>
      <c r="AH53" s="1"/>
      <c r="AI53" s="1"/>
      <c r="AJ53" s="1"/>
      <c r="AK53" s="1"/>
      <c r="AL53" s="1"/>
      <c r="AM53" s="1"/>
    </row>
    <row r="54" spans="1:39" ht="19.5" customHeight="1" x14ac:dyDescent="0.3">
      <c r="A54"/>
      <c r="B54" s="17"/>
      <c r="C54" s="114"/>
      <c r="D54" s="112"/>
      <c r="E54" s="112"/>
      <c r="F54" s="70">
        <f t="shared" ref="F54:K54" si="2">SUM(F33:F53)</f>
        <v>0</v>
      </c>
      <c r="G54" s="70">
        <f t="shared" si="2"/>
        <v>21</v>
      </c>
      <c r="H54" s="70">
        <f t="shared" si="2"/>
        <v>0</v>
      </c>
      <c r="I54" s="70">
        <f t="shared" si="2"/>
        <v>0</v>
      </c>
      <c r="J54" s="70">
        <f t="shared" si="2"/>
        <v>0</v>
      </c>
      <c r="K54" s="70">
        <f t="shared" si="2"/>
        <v>21</v>
      </c>
      <c r="L54" s="11"/>
      <c r="M54" s="2"/>
      <c r="N54" s="2"/>
      <c r="O54" s="2"/>
      <c r="P54" s="2"/>
      <c r="Q54" s="2"/>
      <c r="R54" s="2"/>
      <c r="S54" s="2"/>
      <c r="T54" s="2"/>
      <c r="U54" s="2"/>
      <c r="V54" s="2"/>
      <c r="W54" s="2"/>
      <c r="X54" s="2"/>
      <c r="Y54" s="2"/>
      <c r="Z54" s="2"/>
      <c r="AA54" s="2"/>
      <c r="AB54" s="2"/>
      <c r="AC54" s="2"/>
      <c r="AD54" s="2"/>
      <c r="AE54" s="2"/>
      <c r="AF54" s="2"/>
      <c r="AG54" s="2"/>
      <c r="AH54" s="1"/>
      <c r="AI54" s="1"/>
      <c r="AJ54" s="1"/>
      <c r="AK54" s="1"/>
      <c r="AL54" s="1"/>
      <c r="AM54" s="1"/>
    </row>
    <row r="55" spans="1:39" ht="20.100000000000001" customHeight="1" thickBot="1" x14ac:dyDescent="0.35">
      <c r="A55"/>
      <c r="B55" s="52"/>
      <c r="C55" s="165" t="s">
        <v>119</v>
      </c>
      <c r="D55" s="165"/>
      <c r="E55" s="6"/>
      <c r="F55" s="70"/>
      <c r="G55" s="70"/>
      <c r="H55" s="70"/>
      <c r="I55" s="70"/>
      <c r="J55" s="70"/>
      <c r="K55" s="70"/>
      <c r="L55" s="11"/>
      <c r="M55" s="2"/>
      <c r="N55" s="2"/>
      <c r="O55" s="2"/>
      <c r="P55" s="2"/>
      <c r="Q55" s="2"/>
      <c r="R55" s="2"/>
      <c r="S55" s="2"/>
      <c r="T55" s="2"/>
      <c r="U55" s="2"/>
      <c r="V55" s="2"/>
      <c r="W55" s="2"/>
      <c r="X55" s="2"/>
      <c r="Y55" s="2"/>
      <c r="Z55" s="2"/>
      <c r="AA55" s="2"/>
      <c r="AB55" s="2"/>
      <c r="AC55" s="2"/>
      <c r="AD55" s="2"/>
      <c r="AE55" s="2"/>
      <c r="AF55" s="2"/>
      <c r="AG55" s="2"/>
      <c r="AH55" s="1"/>
      <c r="AI55" s="1"/>
      <c r="AJ55" s="1"/>
      <c r="AK55" s="1"/>
      <c r="AL55" s="1"/>
      <c r="AM55" s="1"/>
    </row>
    <row r="56" spans="1:39" ht="20.100000000000001" customHeight="1" x14ac:dyDescent="0.3">
      <c r="A56"/>
      <c r="B56" s="67"/>
      <c r="C56" s="18" t="s">
        <v>14</v>
      </c>
      <c r="D56" s="40" t="s">
        <v>15</v>
      </c>
      <c r="E56" s="19" t="s">
        <v>16</v>
      </c>
      <c r="F56" s="20" t="s">
        <v>17</v>
      </c>
      <c r="G56" s="20" t="s">
        <v>18</v>
      </c>
      <c r="H56" s="20" t="s">
        <v>19</v>
      </c>
      <c r="I56" s="20" t="s">
        <v>20</v>
      </c>
      <c r="J56" s="20" t="s">
        <v>21</v>
      </c>
      <c r="K56" s="137" t="s">
        <v>22</v>
      </c>
      <c r="L56" s="21" t="s">
        <v>23</v>
      </c>
      <c r="M56" s="2"/>
      <c r="N56" s="2"/>
      <c r="O56" s="2"/>
      <c r="P56" s="2"/>
      <c r="Q56" s="2"/>
      <c r="R56" s="2"/>
      <c r="S56" s="2"/>
      <c r="T56" s="2"/>
      <c r="U56" s="2"/>
      <c r="V56" s="2"/>
      <c r="W56" s="2"/>
      <c r="X56" s="2"/>
      <c r="Y56" s="2"/>
      <c r="Z56" s="2"/>
      <c r="AA56" s="2"/>
      <c r="AB56" s="2"/>
      <c r="AC56" s="2"/>
      <c r="AD56" s="2"/>
      <c r="AE56" s="2"/>
      <c r="AF56" s="2"/>
      <c r="AG56" s="2"/>
      <c r="AH56" s="1"/>
      <c r="AI56" s="1"/>
      <c r="AJ56" s="1"/>
      <c r="AK56" s="1"/>
      <c r="AL56" s="1"/>
      <c r="AM56" s="1"/>
    </row>
    <row r="57" spans="1:39" ht="20.100000000000001" customHeight="1" x14ac:dyDescent="0.3">
      <c r="A57"/>
      <c r="B57" s="34"/>
      <c r="C57" s="106" t="s">
        <v>120</v>
      </c>
      <c r="D57" s="104"/>
      <c r="E57" s="105"/>
      <c r="F57" s="71"/>
      <c r="G57" s="71"/>
      <c r="H57" s="71"/>
      <c r="I57" s="71"/>
      <c r="J57" s="71"/>
      <c r="K57" s="71"/>
      <c r="L57" s="26"/>
      <c r="M57" s="2"/>
      <c r="N57" s="2"/>
      <c r="O57" s="2"/>
      <c r="P57" s="2"/>
      <c r="Q57" s="2"/>
      <c r="R57" s="2"/>
      <c r="S57" s="2"/>
      <c r="T57" s="2"/>
      <c r="U57" s="2"/>
      <c r="V57" s="2"/>
      <c r="W57" s="2"/>
      <c r="X57" s="2"/>
      <c r="Y57" s="2"/>
      <c r="Z57" s="2"/>
      <c r="AA57" s="2"/>
      <c r="AB57" s="2"/>
      <c r="AC57" s="2"/>
      <c r="AD57" s="2"/>
      <c r="AE57" s="2"/>
      <c r="AF57" s="2"/>
      <c r="AG57" s="2"/>
      <c r="AH57" s="1"/>
      <c r="AI57" s="1"/>
      <c r="AJ57" s="1"/>
      <c r="AK57" s="1"/>
      <c r="AL57" s="1"/>
      <c r="AM57" s="1"/>
    </row>
    <row r="58" spans="1:39" ht="20.100000000000001" customHeight="1" x14ac:dyDescent="0.3">
      <c r="A58"/>
      <c r="B58" s="34"/>
      <c r="C58" s="106"/>
      <c r="D58" s="104"/>
      <c r="E58" s="105"/>
      <c r="F58" s="71"/>
      <c r="G58" s="71"/>
      <c r="H58" s="71"/>
      <c r="I58" s="71"/>
      <c r="J58" s="71"/>
      <c r="K58" s="71"/>
      <c r="L58" s="26"/>
      <c r="M58" s="2"/>
      <c r="N58" s="2"/>
      <c r="O58" s="2"/>
      <c r="P58" s="2"/>
      <c r="Q58" s="2"/>
      <c r="R58" s="2"/>
      <c r="S58" s="2"/>
      <c r="T58" s="2"/>
      <c r="U58" s="2"/>
      <c r="V58" s="2"/>
      <c r="W58" s="2"/>
      <c r="X58" s="2"/>
      <c r="Y58" s="2"/>
      <c r="Z58" s="2"/>
      <c r="AA58" s="2"/>
      <c r="AB58" s="2"/>
      <c r="AC58" s="2"/>
      <c r="AD58" s="2"/>
      <c r="AE58" s="2"/>
      <c r="AF58" s="2"/>
      <c r="AG58" s="2"/>
      <c r="AH58" s="1"/>
      <c r="AI58" s="1"/>
      <c r="AJ58" s="1"/>
      <c r="AK58" s="1"/>
      <c r="AL58" s="1"/>
      <c r="AM58" s="1"/>
    </row>
    <row r="59" spans="1:39" ht="20.100000000000001" customHeight="1" x14ac:dyDescent="0.3">
      <c r="A59"/>
      <c r="B59" s="34"/>
      <c r="C59" s="103"/>
      <c r="D59" s="104"/>
      <c r="E59" s="105"/>
      <c r="F59" s="71"/>
      <c r="G59" s="71"/>
      <c r="H59" s="71"/>
      <c r="I59" s="71"/>
      <c r="J59" s="71"/>
      <c r="K59" s="71"/>
      <c r="L59" s="26"/>
      <c r="M59" s="2"/>
      <c r="N59" s="2"/>
      <c r="O59" s="2"/>
      <c r="P59" s="2"/>
      <c r="Q59" s="2"/>
      <c r="R59" s="2"/>
      <c r="S59" s="2"/>
      <c r="T59" s="2"/>
      <c r="U59" s="2"/>
      <c r="V59" s="2"/>
      <c r="W59" s="2"/>
      <c r="X59" s="2"/>
      <c r="Y59" s="2"/>
      <c r="Z59" s="2"/>
      <c r="AA59" s="2"/>
      <c r="AB59" s="2"/>
      <c r="AC59" s="2"/>
      <c r="AD59" s="2"/>
      <c r="AE59" s="2"/>
      <c r="AF59" s="2"/>
      <c r="AG59" s="2"/>
      <c r="AH59" s="1"/>
      <c r="AI59" s="1"/>
      <c r="AJ59" s="1"/>
      <c r="AK59" s="1"/>
      <c r="AL59" s="1"/>
      <c r="AM59" s="1"/>
    </row>
    <row r="60" spans="1:39" ht="20.100000000000001" customHeight="1" thickBot="1" x14ac:dyDescent="0.35">
      <c r="A60"/>
      <c r="B60" s="34"/>
      <c r="C60" s="107"/>
      <c r="D60" s="108"/>
      <c r="E60" s="109"/>
      <c r="F60" s="72"/>
      <c r="G60" s="72"/>
      <c r="H60" s="72"/>
      <c r="I60" s="72"/>
      <c r="J60" s="72"/>
      <c r="K60" s="72"/>
      <c r="L60" s="30"/>
      <c r="M60" s="2"/>
      <c r="N60" s="2"/>
      <c r="O60" s="2"/>
      <c r="P60" s="2"/>
      <c r="Q60" s="2"/>
      <c r="R60" s="2"/>
      <c r="S60" s="2"/>
      <c r="T60" s="2"/>
      <c r="U60" s="2"/>
      <c r="V60" s="2"/>
      <c r="W60" s="2"/>
      <c r="X60" s="2"/>
      <c r="Y60" s="2"/>
      <c r="Z60" s="2"/>
      <c r="AA60" s="2"/>
      <c r="AB60" s="2"/>
      <c r="AC60" s="2"/>
      <c r="AD60" s="2"/>
      <c r="AE60" s="2"/>
      <c r="AF60" s="2"/>
      <c r="AG60" s="2"/>
      <c r="AH60" s="1"/>
      <c r="AI60" s="1"/>
      <c r="AJ60" s="1"/>
      <c r="AK60" s="1"/>
      <c r="AL60" s="1"/>
      <c r="AM60" s="1"/>
    </row>
    <row r="61" spans="1:39" ht="20.100000000000001" customHeight="1" x14ac:dyDescent="0.3">
      <c r="A61"/>
      <c r="B61" s="8"/>
      <c r="C61" s="8"/>
      <c r="D61" s="38"/>
      <c r="E61" s="10"/>
      <c r="F61" s="81">
        <f t="shared" ref="F61:K61" si="3">SUM(F57:F60)</f>
        <v>0</v>
      </c>
      <c r="G61" s="81">
        <f t="shared" si="3"/>
        <v>0</v>
      </c>
      <c r="H61" s="81">
        <f t="shared" si="3"/>
        <v>0</v>
      </c>
      <c r="I61" s="81">
        <f t="shared" si="3"/>
        <v>0</v>
      </c>
      <c r="J61" s="81">
        <f t="shared" si="3"/>
        <v>0</v>
      </c>
      <c r="K61" s="81">
        <f t="shared" si="3"/>
        <v>0</v>
      </c>
      <c r="L61" s="2"/>
      <c r="M61" s="2"/>
      <c r="N61" s="2"/>
      <c r="O61" s="2"/>
      <c r="P61" s="2"/>
      <c r="Q61" s="2"/>
      <c r="R61" s="2"/>
      <c r="S61" s="2"/>
      <c r="T61" s="2"/>
      <c r="U61" s="2"/>
      <c r="V61" s="2"/>
      <c r="W61" s="2"/>
      <c r="X61" s="2"/>
      <c r="Y61" s="2"/>
      <c r="Z61" s="2"/>
      <c r="AA61" s="2"/>
      <c r="AB61" s="2"/>
      <c r="AC61" s="2"/>
      <c r="AD61" s="2"/>
      <c r="AE61" s="2"/>
      <c r="AF61" s="2"/>
      <c r="AG61" s="2"/>
      <c r="AH61" s="1"/>
      <c r="AI61" s="1"/>
      <c r="AJ61" s="1"/>
      <c r="AK61" s="1"/>
      <c r="AL61" s="1"/>
      <c r="AM61" s="1"/>
    </row>
    <row r="62" spans="1:39" ht="20.100000000000001" customHeight="1" thickBot="1" x14ac:dyDescent="0.35">
      <c r="A62"/>
      <c r="B62" s="52"/>
      <c r="C62" s="165" t="s">
        <v>121</v>
      </c>
      <c r="D62" s="165"/>
      <c r="E62" s="6"/>
      <c r="F62" s="70"/>
      <c r="G62" s="70"/>
      <c r="H62" s="70"/>
      <c r="I62" s="70"/>
      <c r="J62" s="70"/>
      <c r="K62" s="70"/>
      <c r="L62" s="11"/>
      <c r="M62" s="2"/>
      <c r="N62" s="2"/>
      <c r="O62" s="2"/>
      <c r="P62" s="2"/>
      <c r="Q62" s="2"/>
      <c r="R62" s="2"/>
      <c r="S62" s="2"/>
      <c r="T62" s="2"/>
      <c r="U62" s="2"/>
      <c r="V62" s="2"/>
      <c r="W62" s="2"/>
      <c r="X62" s="2"/>
      <c r="Y62" s="2"/>
      <c r="Z62" s="2"/>
      <c r="AA62" s="2"/>
      <c r="AB62" s="2"/>
      <c r="AC62" s="2"/>
      <c r="AD62" s="2"/>
      <c r="AE62" s="2"/>
      <c r="AF62" s="2"/>
      <c r="AG62" s="2"/>
      <c r="AH62" s="1"/>
      <c r="AI62" s="1"/>
      <c r="AJ62" s="1"/>
      <c r="AK62" s="1"/>
      <c r="AL62" s="1"/>
      <c r="AM62" s="1"/>
    </row>
    <row r="63" spans="1:39" ht="20.100000000000001" customHeight="1" x14ac:dyDescent="0.3">
      <c r="A63"/>
      <c r="B63" s="67"/>
      <c r="C63" s="98" t="s">
        <v>14</v>
      </c>
      <c r="D63" s="40" t="s">
        <v>15</v>
      </c>
      <c r="E63" s="19" t="s">
        <v>16</v>
      </c>
      <c r="F63" s="20" t="s">
        <v>17</v>
      </c>
      <c r="G63" s="20" t="s">
        <v>18</v>
      </c>
      <c r="H63" s="20" t="s">
        <v>19</v>
      </c>
      <c r="I63" s="20" t="s">
        <v>20</v>
      </c>
      <c r="J63" s="20" t="s">
        <v>21</v>
      </c>
      <c r="K63" s="137" t="s">
        <v>22</v>
      </c>
      <c r="L63" s="21" t="s">
        <v>23</v>
      </c>
      <c r="M63" s="2"/>
      <c r="N63" s="2"/>
      <c r="O63" s="2"/>
      <c r="P63" s="2"/>
      <c r="Q63" s="2"/>
      <c r="R63" s="2"/>
      <c r="S63" s="2"/>
      <c r="T63" s="2"/>
      <c r="U63" s="2"/>
      <c r="V63" s="2"/>
      <c r="W63" s="2"/>
      <c r="X63" s="2"/>
      <c r="Y63" s="2"/>
      <c r="Z63" s="2"/>
      <c r="AA63" s="2"/>
      <c r="AB63" s="2"/>
      <c r="AC63" s="2"/>
      <c r="AD63" s="2"/>
      <c r="AE63" s="2"/>
      <c r="AF63" s="2"/>
      <c r="AG63" s="2"/>
      <c r="AH63" s="1"/>
      <c r="AI63" s="1"/>
      <c r="AJ63" s="1"/>
      <c r="AK63" s="1"/>
      <c r="AL63" s="1"/>
      <c r="AM63" s="1"/>
    </row>
    <row r="64" spans="1:39" ht="208.8" x14ac:dyDescent="0.3">
      <c r="B64" s="34"/>
      <c r="C64" s="99" t="s">
        <v>122</v>
      </c>
      <c r="D64" s="89" t="s">
        <v>123</v>
      </c>
      <c r="E64" s="14" t="s">
        <v>124</v>
      </c>
      <c r="F64" s="71" t="s">
        <v>4</v>
      </c>
      <c r="G64" s="71">
        <v>1</v>
      </c>
      <c r="H64" s="71"/>
      <c r="I64" s="71"/>
      <c r="J64" s="71"/>
      <c r="K64" s="71">
        <v>1</v>
      </c>
      <c r="L64" s="178" t="s">
        <v>362</v>
      </c>
      <c r="M64" s="2"/>
      <c r="N64" s="2"/>
      <c r="O64" s="2"/>
      <c r="P64" s="2"/>
      <c r="Q64" s="2"/>
      <c r="R64" s="2"/>
      <c r="S64" s="2"/>
      <c r="T64" s="2"/>
      <c r="U64" s="2"/>
      <c r="V64" s="2"/>
      <c r="W64" s="2"/>
      <c r="X64" s="2"/>
      <c r="Y64" s="2"/>
      <c r="Z64" s="2"/>
      <c r="AA64" s="2"/>
      <c r="AB64" s="2"/>
      <c r="AC64" s="2"/>
      <c r="AD64" s="2"/>
      <c r="AE64" s="2"/>
      <c r="AF64" s="2"/>
      <c r="AG64" s="2"/>
      <c r="AH64" s="1"/>
      <c r="AI64" s="1"/>
      <c r="AJ64" s="1"/>
      <c r="AK64" s="1"/>
      <c r="AL64" s="1"/>
      <c r="AM64" s="1"/>
    </row>
    <row r="65" spans="1:39" ht="33.9" customHeight="1" x14ac:dyDescent="0.3">
      <c r="B65" s="34"/>
      <c r="C65" s="99" t="s">
        <v>125</v>
      </c>
      <c r="D65" s="89" t="s">
        <v>126</v>
      </c>
      <c r="E65" s="14" t="s">
        <v>127</v>
      </c>
      <c r="F65" s="71" t="s">
        <v>4</v>
      </c>
      <c r="G65" s="71">
        <v>1</v>
      </c>
      <c r="H65" s="71"/>
      <c r="I65" s="71"/>
      <c r="J65" s="71"/>
      <c r="K65" s="71">
        <v>1</v>
      </c>
      <c r="L65" s="178" t="s">
        <v>370</v>
      </c>
      <c r="M65" s="2"/>
      <c r="N65" s="2"/>
      <c r="O65" s="2"/>
      <c r="P65" s="2"/>
      <c r="Q65" s="2"/>
      <c r="R65" s="2"/>
      <c r="S65" s="2"/>
      <c r="T65" s="2"/>
      <c r="U65" s="2"/>
      <c r="V65" s="2"/>
      <c r="W65" s="2"/>
      <c r="X65" s="2"/>
      <c r="Y65" s="2"/>
      <c r="Z65" s="2"/>
      <c r="AA65" s="2"/>
      <c r="AB65" s="2"/>
      <c r="AC65" s="2"/>
      <c r="AD65" s="2"/>
      <c r="AE65" s="2"/>
      <c r="AF65" s="2"/>
      <c r="AG65" s="2"/>
      <c r="AH65" s="1"/>
      <c r="AI65" s="1"/>
      <c r="AJ65" s="1"/>
      <c r="AK65" s="1"/>
      <c r="AL65" s="1"/>
      <c r="AM65" s="1"/>
    </row>
    <row r="66" spans="1:39" ht="18.899999999999999" customHeight="1" x14ac:dyDescent="0.3">
      <c r="B66" s="34"/>
      <c r="C66" s="99" t="s">
        <v>128</v>
      </c>
      <c r="D66" s="89" t="s">
        <v>129</v>
      </c>
      <c r="E66" s="14" t="s">
        <v>130</v>
      </c>
      <c r="F66" s="71" t="s">
        <v>4</v>
      </c>
      <c r="G66" s="71">
        <v>1</v>
      </c>
      <c r="H66" s="71"/>
      <c r="I66" s="71"/>
      <c r="J66" s="71"/>
      <c r="K66" s="71">
        <v>1</v>
      </c>
      <c r="L66" s="179" t="s">
        <v>371</v>
      </c>
      <c r="M66" s="2"/>
      <c r="N66" s="2"/>
      <c r="O66" s="2"/>
      <c r="P66" s="2"/>
      <c r="Q66" s="2"/>
      <c r="R66" s="2"/>
      <c r="S66" s="2"/>
      <c r="T66" s="2"/>
      <c r="U66" s="2"/>
      <c r="V66" s="2"/>
      <c r="W66" s="2"/>
      <c r="X66" s="2"/>
      <c r="Y66" s="2"/>
      <c r="Z66" s="2"/>
      <c r="AA66" s="2"/>
      <c r="AB66" s="2"/>
      <c r="AC66" s="2"/>
      <c r="AD66" s="2"/>
      <c r="AE66" s="2"/>
      <c r="AF66" s="2"/>
      <c r="AG66" s="2"/>
      <c r="AH66" s="1"/>
      <c r="AI66" s="1"/>
      <c r="AJ66" s="1"/>
      <c r="AK66" s="1"/>
      <c r="AL66" s="1"/>
      <c r="AM66" s="1"/>
    </row>
    <row r="67" spans="1:39" ht="18.899999999999999" customHeight="1" x14ac:dyDescent="0.3">
      <c r="B67" s="34"/>
      <c r="C67" s="99" t="s">
        <v>131</v>
      </c>
      <c r="D67" s="89" t="s">
        <v>132</v>
      </c>
      <c r="E67" s="14" t="s">
        <v>133</v>
      </c>
      <c r="F67" s="71" t="s">
        <v>4</v>
      </c>
      <c r="G67" s="71">
        <v>1</v>
      </c>
      <c r="H67" s="71"/>
      <c r="I67" s="71"/>
      <c r="J67" s="71"/>
      <c r="K67" s="71">
        <v>1</v>
      </c>
      <c r="L67" s="179" t="s">
        <v>371</v>
      </c>
      <c r="M67" s="2"/>
      <c r="N67" s="2"/>
      <c r="O67" s="2"/>
      <c r="P67" s="2"/>
      <c r="Q67" s="2"/>
      <c r="R67" s="2"/>
      <c r="S67" s="2"/>
      <c r="T67" s="2"/>
      <c r="U67" s="2"/>
      <c r="V67" s="2"/>
      <c r="W67" s="2"/>
      <c r="X67" s="2"/>
      <c r="Y67" s="2"/>
      <c r="Z67" s="2"/>
      <c r="AA67" s="2"/>
      <c r="AB67" s="2"/>
      <c r="AC67" s="2"/>
      <c r="AD67" s="2"/>
      <c r="AE67" s="2"/>
      <c r="AF67" s="2"/>
      <c r="AG67" s="2"/>
      <c r="AH67" s="1"/>
      <c r="AI67" s="1"/>
      <c r="AJ67" s="1"/>
      <c r="AK67" s="1"/>
      <c r="AL67" s="1"/>
      <c r="AM67" s="1"/>
    </row>
    <row r="68" spans="1:39" ht="18.899999999999999" customHeight="1" x14ac:dyDescent="0.3">
      <c r="B68" s="34"/>
      <c r="C68" s="99" t="s">
        <v>134</v>
      </c>
      <c r="D68" s="89" t="s">
        <v>135</v>
      </c>
      <c r="E68" s="14" t="s">
        <v>136</v>
      </c>
      <c r="F68" s="71" t="s">
        <v>4</v>
      </c>
      <c r="G68" s="71">
        <v>1</v>
      </c>
      <c r="H68" s="71"/>
      <c r="I68" s="71"/>
      <c r="J68" s="71"/>
      <c r="K68" s="71">
        <v>1</v>
      </c>
      <c r="L68" s="179" t="s">
        <v>371</v>
      </c>
      <c r="M68" s="2"/>
      <c r="N68" s="2"/>
      <c r="O68" s="2"/>
      <c r="P68" s="2"/>
      <c r="Q68" s="2"/>
      <c r="R68" s="2"/>
      <c r="S68" s="2"/>
      <c r="T68" s="2"/>
      <c r="U68" s="2"/>
      <c r="V68" s="2"/>
      <c r="W68" s="2"/>
      <c r="X68" s="2"/>
      <c r="Y68" s="2"/>
      <c r="Z68" s="2"/>
      <c r="AA68" s="2"/>
      <c r="AB68" s="2"/>
      <c r="AC68" s="2"/>
      <c r="AD68" s="2"/>
      <c r="AE68" s="2"/>
      <c r="AF68" s="2"/>
      <c r="AG68" s="2"/>
      <c r="AH68" s="1"/>
      <c r="AI68" s="1"/>
      <c r="AJ68" s="1"/>
      <c r="AK68" s="1"/>
      <c r="AL68" s="1"/>
      <c r="AM68" s="1"/>
    </row>
    <row r="69" spans="1:39" ht="18.899999999999999" customHeight="1" x14ac:dyDescent="0.3">
      <c r="B69" s="34"/>
      <c r="C69" s="99" t="s">
        <v>137</v>
      </c>
      <c r="D69" s="89" t="s">
        <v>138</v>
      </c>
      <c r="E69" s="14" t="s">
        <v>139</v>
      </c>
      <c r="F69" s="71" t="s">
        <v>4</v>
      </c>
      <c r="G69" s="71">
        <v>1</v>
      </c>
      <c r="H69" s="71"/>
      <c r="I69" s="71"/>
      <c r="J69" s="71"/>
      <c r="K69" s="71">
        <v>1</v>
      </c>
      <c r="L69" s="179" t="s">
        <v>371</v>
      </c>
      <c r="M69" s="2"/>
      <c r="N69" s="2"/>
      <c r="O69" s="2"/>
      <c r="P69" s="2"/>
      <c r="Q69" s="2"/>
      <c r="R69" s="2"/>
      <c r="S69" s="2"/>
      <c r="T69" s="2"/>
      <c r="U69" s="2"/>
      <c r="V69" s="2"/>
      <c r="W69" s="2"/>
      <c r="X69" s="2"/>
      <c r="Y69" s="2"/>
      <c r="Z69" s="2"/>
      <c r="AA69" s="2"/>
      <c r="AB69" s="2"/>
      <c r="AC69" s="2"/>
      <c r="AD69" s="2"/>
      <c r="AE69" s="2"/>
      <c r="AF69" s="2"/>
      <c r="AG69" s="2"/>
      <c r="AH69" s="1"/>
      <c r="AI69" s="1"/>
      <c r="AJ69" s="1"/>
      <c r="AK69" s="1"/>
      <c r="AL69" s="1"/>
      <c r="AM69" s="1"/>
    </row>
    <row r="70" spans="1:39" ht="34.5" customHeight="1" x14ac:dyDescent="0.3">
      <c r="B70" s="34"/>
      <c r="C70" s="155" t="s">
        <v>140</v>
      </c>
      <c r="D70" s="61" t="s">
        <v>141</v>
      </c>
      <c r="E70" s="129" t="s">
        <v>142</v>
      </c>
      <c r="F70" s="153" t="s">
        <v>4</v>
      </c>
      <c r="G70" s="153">
        <v>1</v>
      </c>
      <c r="H70" s="153"/>
      <c r="I70" s="153"/>
      <c r="J70" s="153"/>
      <c r="K70" s="153">
        <v>1</v>
      </c>
      <c r="L70" s="179" t="s">
        <v>371</v>
      </c>
      <c r="M70" s="2"/>
      <c r="N70" s="2"/>
      <c r="O70" s="2"/>
      <c r="P70" s="2"/>
      <c r="Q70" s="2"/>
      <c r="R70" s="2"/>
      <c r="S70" s="2"/>
      <c r="T70" s="2"/>
      <c r="U70" s="2"/>
      <c r="V70" s="2"/>
      <c r="W70" s="2"/>
      <c r="X70" s="2"/>
      <c r="Y70" s="2"/>
      <c r="Z70" s="2"/>
      <c r="AA70" s="2"/>
      <c r="AB70" s="2"/>
      <c r="AC70" s="2"/>
      <c r="AD70" s="2"/>
      <c r="AE70" s="2"/>
      <c r="AF70" s="2"/>
      <c r="AG70" s="2"/>
      <c r="AH70" s="1"/>
      <c r="AI70" s="1"/>
      <c r="AJ70" s="1"/>
      <c r="AK70" s="1"/>
      <c r="AL70" s="1"/>
      <c r="AM70" s="1"/>
    </row>
    <row r="71" spans="1:39" ht="41.25" customHeight="1" thickBot="1" x14ac:dyDescent="0.35">
      <c r="B71" s="34"/>
      <c r="C71" s="156"/>
      <c r="D71" s="157"/>
      <c r="E71" s="158" t="s">
        <v>143</v>
      </c>
      <c r="F71" s="72" t="s">
        <v>4</v>
      </c>
      <c r="G71" s="72">
        <v>1</v>
      </c>
      <c r="H71" s="72"/>
      <c r="I71" s="72"/>
      <c r="J71" s="72"/>
      <c r="K71" s="72">
        <v>1</v>
      </c>
      <c r="L71" s="179" t="s">
        <v>371</v>
      </c>
      <c r="M71" s="2"/>
      <c r="N71" s="2"/>
      <c r="O71" s="2"/>
      <c r="P71" s="2"/>
      <c r="Q71" s="2"/>
      <c r="R71" s="2"/>
      <c r="S71" s="2"/>
      <c r="T71" s="2"/>
      <c r="U71" s="2"/>
      <c r="V71" s="2"/>
      <c r="W71" s="2"/>
      <c r="X71" s="2"/>
      <c r="Y71" s="2"/>
      <c r="Z71" s="2"/>
      <c r="AA71" s="2"/>
      <c r="AB71" s="2"/>
      <c r="AC71" s="2"/>
      <c r="AD71" s="2"/>
      <c r="AE71" s="2"/>
      <c r="AF71" s="2"/>
      <c r="AG71" s="2"/>
      <c r="AH71" s="1"/>
      <c r="AI71" s="1"/>
      <c r="AJ71" s="1"/>
      <c r="AK71" s="1"/>
      <c r="AL71" s="1"/>
      <c r="AM71" s="1"/>
    </row>
    <row r="72" spans="1:39" ht="20.100000000000001" customHeight="1" x14ac:dyDescent="0.3">
      <c r="A72"/>
      <c r="B72" s="8"/>
      <c r="C72" s="8"/>
      <c r="D72" s="38"/>
      <c r="E72" s="10"/>
      <c r="F72" s="81">
        <f t="shared" ref="F72:K72" si="4">SUM(F64:F71)</f>
        <v>0</v>
      </c>
      <c r="G72" s="81">
        <f t="shared" si="4"/>
        <v>8</v>
      </c>
      <c r="H72" s="81">
        <f t="shared" si="4"/>
        <v>0</v>
      </c>
      <c r="I72" s="81">
        <f t="shared" si="4"/>
        <v>0</v>
      </c>
      <c r="J72" s="81">
        <f t="shared" si="4"/>
        <v>0</v>
      </c>
      <c r="K72" s="81">
        <f t="shared" si="4"/>
        <v>8</v>
      </c>
      <c r="L72" s="2"/>
      <c r="M72" s="2"/>
      <c r="N72" s="2"/>
      <c r="O72" s="2"/>
      <c r="P72" s="2"/>
      <c r="Q72" s="2"/>
      <c r="R72" s="2"/>
      <c r="S72" s="2"/>
      <c r="T72" s="2"/>
      <c r="U72" s="2"/>
      <c r="V72" s="2"/>
      <c r="W72" s="2"/>
      <c r="X72" s="2"/>
      <c r="Y72" s="2"/>
      <c r="Z72" s="2"/>
      <c r="AA72" s="2"/>
      <c r="AB72" s="2"/>
      <c r="AC72" s="2"/>
      <c r="AD72" s="2"/>
      <c r="AE72" s="2"/>
      <c r="AF72" s="2"/>
      <c r="AG72" s="2"/>
      <c r="AH72" s="1"/>
      <c r="AI72" s="1"/>
      <c r="AJ72" s="1"/>
      <c r="AK72" s="1"/>
      <c r="AL72" s="1"/>
      <c r="AM72" s="1"/>
    </row>
    <row r="73" spans="1:39" ht="20.100000000000001" customHeight="1" thickBot="1" x14ac:dyDescent="0.35">
      <c r="A73"/>
      <c r="B73" s="52"/>
      <c r="C73" s="165" t="s">
        <v>144</v>
      </c>
      <c r="D73" s="165"/>
      <c r="E73" s="6"/>
      <c r="F73" s="70"/>
      <c r="G73" s="70"/>
      <c r="H73" s="70"/>
      <c r="I73" s="70"/>
      <c r="J73" s="70"/>
      <c r="K73" s="70"/>
      <c r="L73" s="11"/>
      <c r="M73" s="2"/>
      <c r="N73" s="2"/>
      <c r="O73" s="2"/>
      <c r="P73" s="2"/>
      <c r="Q73" s="2"/>
      <c r="R73" s="2"/>
      <c r="S73" s="2"/>
      <c r="T73" s="2"/>
      <c r="U73" s="2"/>
      <c r="V73" s="2"/>
      <c r="W73" s="2"/>
      <c r="X73" s="2"/>
      <c r="Y73" s="2"/>
      <c r="Z73" s="2"/>
      <c r="AA73" s="2"/>
      <c r="AB73" s="2"/>
      <c r="AC73" s="2"/>
      <c r="AD73" s="2"/>
      <c r="AE73" s="2"/>
      <c r="AF73" s="2"/>
      <c r="AG73" s="2"/>
      <c r="AH73" s="1"/>
      <c r="AI73" s="1"/>
      <c r="AJ73" s="1"/>
      <c r="AK73" s="1"/>
      <c r="AL73" s="1"/>
      <c r="AM73" s="1"/>
    </row>
    <row r="74" spans="1:39" ht="20.100000000000001" customHeight="1" x14ac:dyDescent="0.3">
      <c r="A74"/>
      <c r="B74" s="67"/>
      <c r="C74" s="18" t="s">
        <v>14</v>
      </c>
      <c r="D74" s="40" t="s">
        <v>15</v>
      </c>
      <c r="E74" s="19" t="s">
        <v>16</v>
      </c>
      <c r="F74" s="20" t="s">
        <v>17</v>
      </c>
      <c r="G74" s="20" t="s">
        <v>18</v>
      </c>
      <c r="H74" s="20" t="s">
        <v>19</v>
      </c>
      <c r="I74" s="20" t="s">
        <v>20</v>
      </c>
      <c r="J74" s="20" t="s">
        <v>21</v>
      </c>
      <c r="K74" s="137" t="s">
        <v>22</v>
      </c>
      <c r="L74" s="21" t="s">
        <v>23</v>
      </c>
      <c r="M74" s="2"/>
      <c r="N74" s="2"/>
      <c r="O74" s="2"/>
      <c r="P74" s="2"/>
      <c r="Q74" s="2"/>
      <c r="R74" s="2"/>
      <c r="S74" s="2"/>
      <c r="T74" s="2"/>
      <c r="U74" s="2"/>
      <c r="V74" s="2"/>
      <c r="W74" s="2"/>
      <c r="X74" s="2"/>
      <c r="Y74" s="2"/>
      <c r="Z74" s="2"/>
      <c r="AA74" s="2"/>
      <c r="AB74" s="2"/>
      <c r="AC74" s="2"/>
      <c r="AD74" s="2"/>
      <c r="AE74" s="2"/>
      <c r="AF74" s="2"/>
      <c r="AG74" s="2"/>
      <c r="AH74" s="1"/>
      <c r="AI74" s="1"/>
      <c r="AJ74" s="1"/>
      <c r="AK74" s="1"/>
      <c r="AL74" s="1"/>
      <c r="AM74" s="1"/>
    </row>
    <row r="75" spans="1:39" ht="208.8" x14ac:dyDescent="0.3">
      <c r="A75"/>
      <c r="B75" s="34"/>
      <c r="C75" s="93" t="s">
        <v>145</v>
      </c>
      <c r="D75" s="44"/>
      <c r="E75" s="14"/>
      <c r="F75" s="71" t="s">
        <v>4</v>
      </c>
      <c r="G75" s="71">
        <v>1</v>
      </c>
      <c r="H75" s="71"/>
      <c r="I75" s="71"/>
      <c r="J75" s="71"/>
      <c r="K75" s="71">
        <v>1</v>
      </c>
      <c r="L75" s="178" t="s">
        <v>362</v>
      </c>
      <c r="M75" s="2"/>
      <c r="N75" s="2"/>
      <c r="O75" s="2"/>
      <c r="P75" s="2"/>
      <c r="Q75" s="2"/>
      <c r="R75" s="2"/>
      <c r="S75" s="2"/>
      <c r="T75" s="2"/>
      <c r="U75" s="2"/>
      <c r="V75" s="2"/>
      <c r="W75" s="2"/>
      <c r="X75" s="2"/>
      <c r="Y75" s="2"/>
      <c r="Z75" s="2"/>
      <c r="AA75" s="2"/>
      <c r="AB75" s="2"/>
      <c r="AC75" s="2"/>
      <c r="AD75" s="2"/>
      <c r="AE75" s="2"/>
      <c r="AF75" s="2"/>
      <c r="AG75" s="2"/>
      <c r="AH75" s="1"/>
      <c r="AI75" s="1"/>
      <c r="AJ75" s="1"/>
      <c r="AK75" s="1"/>
      <c r="AL75" s="1"/>
      <c r="AM75" s="1"/>
    </row>
    <row r="76" spans="1:39" ht="18.899999999999999" customHeight="1" x14ac:dyDescent="0.3">
      <c r="A76"/>
      <c r="B76" s="34"/>
      <c r="C76" s="94" t="s">
        <v>146</v>
      </c>
      <c r="D76" s="44" t="s">
        <v>147</v>
      </c>
      <c r="E76" s="14" t="s">
        <v>148</v>
      </c>
      <c r="F76" s="71" t="s">
        <v>4</v>
      </c>
      <c r="G76" s="71">
        <v>1</v>
      </c>
      <c r="H76" s="71"/>
      <c r="I76" s="71"/>
      <c r="J76" s="71"/>
      <c r="K76" s="71">
        <v>1</v>
      </c>
      <c r="L76" s="26" t="s">
        <v>366</v>
      </c>
      <c r="M76" s="2"/>
      <c r="N76" s="2"/>
      <c r="O76" s="2"/>
      <c r="P76" s="2"/>
      <c r="Q76" s="2"/>
      <c r="R76" s="2"/>
      <c r="S76" s="2"/>
      <c r="T76" s="2"/>
      <c r="U76" s="2"/>
      <c r="V76" s="2"/>
      <c r="W76" s="2"/>
      <c r="X76" s="2"/>
      <c r="Y76" s="2"/>
      <c r="Z76" s="2"/>
      <c r="AA76" s="2"/>
      <c r="AB76" s="2"/>
      <c r="AC76" s="2"/>
      <c r="AD76" s="2"/>
      <c r="AE76" s="2"/>
      <c r="AF76" s="2"/>
      <c r="AG76" s="2"/>
      <c r="AH76" s="1"/>
      <c r="AI76" s="1"/>
      <c r="AJ76" s="1"/>
      <c r="AK76" s="1"/>
      <c r="AL76" s="1"/>
      <c r="AM76" s="1"/>
    </row>
    <row r="77" spans="1:39" ht="18.899999999999999" customHeight="1" x14ac:dyDescent="0.3">
      <c r="A77"/>
      <c r="B77" s="34"/>
      <c r="C77" s="94" t="s">
        <v>149</v>
      </c>
      <c r="D77" s="44" t="s">
        <v>150</v>
      </c>
      <c r="E77" s="14" t="s">
        <v>148</v>
      </c>
      <c r="F77" s="71" t="s">
        <v>4</v>
      </c>
      <c r="G77" s="71">
        <v>1</v>
      </c>
      <c r="H77" s="71"/>
      <c r="I77" s="71"/>
      <c r="J77" s="71"/>
      <c r="K77" s="71">
        <v>1</v>
      </c>
      <c r="L77" s="26" t="s">
        <v>366</v>
      </c>
      <c r="M77" s="2"/>
      <c r="N77" s="2"/>
      <c r="O77" s="2"/>
      <c r="P77" s="2"/>
      <c r="Q77" s="2"/>
      <c r="R77" s="2"/>
      <c r="S77" s="2"/>
      <c r="T77" s="2"/>
      <c r="U77" s="2"/>
      <c r="V77" s="2"/>
      <c r="W77" s="2"/>
      <c r="X77" s="2"/>
      <c r="Y77" s="2"/>
      <c r="Z77" s="2"/>
      <c r="AA77" s="2"/>
      <c r="AB77" s="2"/>
      <c r="AC77" s="2"/>
      <c r="AD77" s="2"/>
      <c r="AE77" s="2"/>
      <c r="AF77" s="2"/>
      <c r="AG77" s="2"/>
      <c r="AH77" s="1"/>
      <c r="AI77" s="1"/>
      <c r="AJ77" s="1"/>
      <c r="AK77" s="1"/>
      <c r="AL77" s="1"/>
      <c r="AM77" s="1"/>
    </row>
    <row r="78" spans="1:39" ht="18.899999999999999" customHeight="1" x14ac:dyDescent="0.3">
      <c r="A78"/>
      <c r="B78" s="34"/>
      <c r="C78" s="93" t="s">
        <v>151</v>
      </c>
      <c r="D78" s="44" t="s">
        <v>152</v>
      </c>
      <c r="E78" s="14" t="s">
        <v>153</v>
      </c>
      <c r="F78" s="71" t="s">
        <v>4</v>
      </c>
      <c r="G78" s="71">
        <v>1</v>
      </c>
      <c r="H78" s="71"/>
      <c r="I78" s="71"/>
      <c r="J78" s="71"/>
      <c r="K78" s="71">
        <v>1</v>
      </c>
      <c r="L78" s="26" t="s">
        <v>366</v>
      </c>
      <c r="M78" s="2"/>
      <c r="N78" s="2"/>
      <c r="O78" s="2"/>
      <c r="P78" s="2"/>
      <c r="Q78" s="2"/>
      <c r="R78" s="2"/>
      <c r="S78" s="2"/>
      <c r="T78" s="2"/>
      <c r="U78" s="2"/>
      <c r="V78" s="2"/>
      <c r="W78" s="2"/>
      <c r="X78" s="2"/>
      <c r="Y78" s="2"/>
      <c r="Z78" s="2"/>
      <c r="AA78" s="2"/>
      <c r="AB78" s="2"/>
      <c r="AC78" s="2"/>
      <c r="AD78" s="2"/>
      <c r="AE78" s="2"/>
      <c r="AF78" s="2"/>
      <c r="AG78" s="2"/>
      <c r="AH78" s="1"/>
      <c r="AI78" s="1"/>
      <c r="AJ78" s="1"/>
      <c r="AK78" s="1"/>
      <c r="AL78" s="1"/>
      <c r="AM78" s="1"/>
    </row>
    <row r="79" spans="1:39" ht="18.899999999999999" customHeight="1" x14ac:dyDescent="0.3">
      <c r="A79"/>
      <c r="B79" s="34"/>
      <c r="C79" s="95" t="s">
        <v>154</v>
      </c>
      <c r="D79" s="44"/>
      <c r="E79" s="14"/>
      <c r="F79" s="71" t="s">
        <v>4</v>
      </c>
      <c r="G79" s="71">
        <v>1</v>
      </c>
      <c r="H79" s="71"/>
      <c r="I79" s="71"/>
      <c r="J79" s="71"/>
      <c r="K79" s="71">
        <v>1</v>
      </c>
      <c r="L79" s="26" t="s">
        <v>366</v>
      </c>
      <c r="M79" s="2"/>
      <c r="N79" s="2"/>
      <c r="O79" s="2"/>
      <c r="P79" s="2"/>
      <c r="Q79" s="2"/>
      <c r="R79" s="2"/>
      <c r="S79" s="2"/>
      <c r="T79" s="2"/>
      <c r="U79" s="2"/>
      <c r="V79" s="2"/>
      <c r="W79" s="2"/>
      <c r="X79" s="2"/>
      <c r="Y79" s="2"/>
      <c r="Z79" s="2"/>
      <c r="AA79" s="2"/>
      <c r="AB79" s="2"/>
      <c r="AC79" s="2"/>
      <c r="AD79" s="2"/>
      <c r="AE79" s="2"/>
      <c r="AF79" s="2"/>
      <c r="AG79" s="2"/>
      <c r="AH79" s="1"/>
      <c r="AI79" s="1"/>
      <c r="AJ79" s="1"/>
      <c r="AK79" s="1"/>
      <c r="AL79" s="1"/>
      <c r="AM79" s="1"/>
    </row>
    <row r="80" spans="1:39" ht="18.899999999999999" customHeight="1" x14ac:dyDescent="0.3">
      <c r="A80"/>
      <c r="B80" s="34"/>
      <c r="C80" s="96" t="s">
        <v>155</v>
      </c>
      <c r="D80" s="97" t="s">
        <v>155</v>
      </c>
      <c r="E80" s="14" t="s">
        <v>156</v>
      </c>
      <c r="F80" s="71" t="s">
        <v>4</v>
      </c>
      <c r="G80" s="71">
        <v>1</v>
      </c>
      <c r="H80" s="71"/>
      <c r="I80" s="71"/>
      <c r="J80" s="71"/>
      <c r="K80" s="71">
        <v>1</v>
      </c>
      <c r="L80" s="26" t="s">
        <v>366</v>
      </c>
      <c r="M80" s="2"/>
      <c r="N80" s="2"/>
      <c r="O80" s="2"/>
      <c r="P80" s="2"/>
      <c r="Q80" s="2"/>
      <c r="R80" s="2"/>
      <c r="S80" s="2"/>
      <c r="T80" s="2"/>
      <c r="U80" s="2"/>
      <c r="V80" s="2"/>
      <c r="W80" s="2"/>
      <c r="X80" s="2"/>
      <c r="Y80" s="2"/>
      <c r="Z80" s="2"/>
      <c r="AA80" s="2"/>
      <c r="AB80" s="2"/>
      <c r="AC80" s="2"/>
      <c r="AD80" s="2"/>
      <c r="AE80" s="2"/>
      <c r="AF80" s="2"/>
      <c r="AG80" s="2"/>
      <c r="AH80" s="1"/>
      <c r="AI80" s="1"/>
      <c r="AJ80" s="1"/>
      <c r="AK80" s="1"/>
      <c r="AL80" s="1"/>
      <c r="AM80" s="1"/>
    </row>
    <row r="81" spans="1:39" ht="18.899999999999999" customHeight="1" x14ac:dyDescent="0.3">
      <c r="A81"/>
      <c r="B81" s="34"/>
      <c r="C81" s="96" t="s">
        <v>157</v>
      </c>
      <c r="D81" s="97" t="s">
        <v>157</v>
      </c>
      <c r="E81" s="14" t="s">
        <v>156</v>
      </c>
      <c r="F81" s="71" t="s">
        <v>4</v>
      </c>
      <c r="G81" s="71">
        <v>1</v>
      </c>
      <c r="H81" s="71"/>
      <c r="I81" s="71"/>
      <c r="J81" s="71"/>
      <c r="K81" s="71">
        <v>1</v>
      </c>
      <c r="L81" s="26" t="s">
        <v>366</v>
      </c>
      <c r="M81" s="2"/>
      <c r="N81" s="2"/>
      <c r="O81" s="2"/>
      <c r="P81" s="2"/>
      <c r="Q81" s="2"/>
      <c r="R81" s="2"/>
      <c r="S81" s="2"/>
      <c r="T81" s="2"/>
      <c r="U81" s="2"/>
      <c r="V81" s="2"/>
      <c r="W81" s="2"/>
      <c r="X81" s="2"/>
      <c r="Y81" s="2"/>
      <c r="Z81" s="2"/>
      <c r="AA81" s="2"/>
      <c r="AB81" s="2"/>
      <c r="AC81" s="2"/>
      <c r="AD81" s="2"/>
      <c r="AE81" s="2"/>
      <c r="AF81" s="2"/>
      <c r="AG81" s="2"/>
      <c r="AH81" s="1"/>
      <c r="AI81" s="1"/>
      <c r="AJ81" s="1"/>
      <c r="AK81" s="1"/>
      <c r="AL81" s="1"/>
      <c r="AM81" s="1"/>
    </row>
    <row r="82" spans="1:39" ht="18.899999999999999" customHeight="1" x14ac:dyDescent="0.3">
      <c r="A82"/>
      <c r="B82" s="34"/>
      <c r="C82" s="96" t="s">
        <v>158</v>
      </c>
      <c r="D82" s="97" t="s">
        <v>158</v>
      </c>
      <c r="E82" s="14" t="s">
        <v>156</v>
      </c>
      <c r="F82" s="71" t="s">
        <v>4</v>
      </c>
      <c r="G82" s="71">
        <v>1</v>
      </c>
      <c r="H82" s="71"/>
      <c r="I82" s="71"/>
      <c r="J82" s="71"/>
      <c r="K82" s="71">
        <v>1</v>
      </c>
      <c r="L82" s="26" t="s">
        <v>366</v>
      </c>
      <c r="M82" s="2"/>
      <c r="N82" s="2"/>
      <c r="O82" s="2"/>
      <c r="P82" s="2"/>
      <c r="Q82" s="2"/>
      <c r="R82" s="2"/>
      <c r="S82" s="2"/>
      <c r="T82" s="2"/>
      <c r="U82" s="2"/>
      <c r="V82" s="2"/>
      <c r="W82" s="2"/>
      <c r="X82" s="2"/>
      <c r="Y82" s="2"/>
      <c r="Z82" s="2"/>
      <c r="AA82" s="2"/>
      <c r="AB82" s="2"/>
      <c r="AC82" s="2"/>
      <c r="AD82" s="2"/>
      <c r="AE82" s="2"/>
      <c r="AF82" s="2"/>
      <c r="AG82" s="2"/>
      <c r="AH82" s="1"/>
      <c r="AI82" s="1"/>
      <c r="AJ82" s="1"/>
      <c r="AK82" s="1"/>
      <c r="AL82" s="1"/>
      <c r="AM82" s="1"/>
    </row>
    <row r="83" spans="1:39" ht="18.899999999999999" customHeight="1" x14ac:dyDescent="0.3">
      <c r="A83"/>
      <c r="B83" s="34"/>
      <c r="C83" s="96" t="s">
        <v>159</v>
      </c>
      <c r="D83" s="97" t="s">
        <v>159</v>
      </c>
      <c r="E83" s="14" t="s">
        <v>156</v>
      </c>
      <c r="F83" s="71" t="s">
        <v>4</v>
      </c>
      <c r="G83" s="71">
        <v>1</v>
      </c>
      <c r="H83" s="71"/>
      <c r="I83" s="71"/>
      <c r="J83" s="71"/>
      <c r="K83" s="71">
        <v>1</v>
      </c>
      <c r="L83" s="26" t="s">
        <v>366</v>
      </c>
      <c r="M83" s="2"/>
      <c r="N83" s="2"/>
      <c r="O83" s="2"/>
      <c r="P83" s="2"/>
      <c r="Q83" s="2"/>
      <c r="R83" s="2"/>
      <c r="S83" s="2"/>
      <c r="T83" s="2"/>
      <c r="U83" s="2"/>
      <c r="V83" s="2"/>
      <c r="W83" s="2"/>
      <c r="X83" s="2"/>
      <c r="Y83" s="2"/>
      <c r="Z83" s="2"/>
      <c r="AA83" s="2"/>
      <c r="AB83" s="2"/>
      <c r="AC83" s="2"/>
      <c r="AD83" s="2"/>
      <c r="AE83" s="2"/>
      <c r="AF83" s="2"/>
      <c r="AG83" s="2"/>
      <c r="AH83" s="1"/>
      <c r="AI83" s="1"/>
      <c r="AJ83" s="1"/>
      <c r="AK83" s="1"/>
      <c r="AL83" s="1"/>
      <c r="AM83" s="1"/>
    </row>
    <row r="84" spans="1:39" ht="18.899999999999999" customHeight="1" x14ac:dyDescent="0.3">
      <c r="A84"/>
      <c r="B84" s="34"/>
      <c r="C84" s="96" t="s">
        <v>160</v>
      </c>
      <c r="D84" s="97" t="s">
        <v>160</v>
      </c>
      <c r="E84" s="14" t="s">
        <v>156</v>
      </c>
      <c r="F84" s="71"/>
      <c r="G84" s="71">
        <v>1</v>
      </c>
      <c r="H84" s="71"/>
      <c r="I84" s="71"/>
      <c r="J84" s="71"/>
      <c r="K84" s="71">
        <v>1</v>
      </c>
      <c r="L84" s="26" t="s">
        <v>366</v>
      </c>
      <c r="M84" s="2"/>
      <c r="N84" s="2"/>
      <c r="O84" s="2"/>
      <c r="P84" s="2"/>
      <c r="Q84" s="2"/>
      <c r="R84" s="2"/>
      <c r="S84" s="2"/>
      <c r="T84" s="2"/>
      <c r="U84" s="2"/>
      <c r="V84" s="2"/>
      <c r="W84" s="2"/>
      <c r="X84" s="2"/>
      <c r="Y84" s="2"/>
      <c r="Z84" s="2"/>
      <c r="AA84" s="2"/>
      <c r="AB84" s="2"/>
      <c r="AC84" s="2"/>
      <c r="AD84" s="2"/>
      <c r="AE84" s="2"/>
      <c r="AF84" s="2"/>
      <c r="AG84" s="2"/>
      <c r="AH84" s="1"/>
      <c r="AI84" s="1"/>
      <c r="AJ84" s="1"/>
      <c r="AK84" s="1"/>
      <c r="AL84" s="1"/>
      <c r="AM84" s="1"/>
    </row>
    <row r="85" spans="1:39" ht="18.899999999999999" customHeight="1" x14ac:dyDescent="0.3">
      <c r="A85"/>
      <c r="B85" s="34"/>
      <c r="C85" s="96" t="s">
        <v>161</v>
      </c>
      <c r="D85" s="97" t="s">
        <v>161</v>
      </c>
      <c r="E85" s="14" t="s">
        <v>156</v>
      </c>
      <c r="F85" s="71"/>
      <c r="G85" s="71">
        <v>1</v>
      </c>
      <c r="H85" s="71"/>
      <c r="I85" s="71"/>
      <c r="J85" s="71"/>
      <c r="K85" s="71">
        <v>1</v>
      </c>
      <c r="L85" s="26" t="s">
        <v>366</v>
      </c>
      <c r="M85" s="2"/>
      <c r="N85" s="2"/>
      <c r="O85" s="2"/>
      <c r="P85" s="2"/>
      <c r="Q85" s="2"/>
      <c r="R85" s="2"/>
      <c r="S85" s="2"/>
      <c r="T85" s="2"/>
      <c r="U85" s="2"/>
      <c r="V85" s="2"/>
      <c r="W85" s="2"/>
      <c r="X85" s="2"/>
      <c r="Y85" s="2"/>
      <c r="Z85" s="2"/>
      <c r="AA85" s="2"/>
      <c r="AB85" s="2"/>
      <c r="AC85" s="2"/>
      <c r="AD85" s="2"/>
      <c r="AE85" s="2"/>
      <c r="AF85" s="2"/>
      <c r="AG85" s="2"/>
      <c r="AH85" s="1"/>
      <c r="AI85" s="1"/>
      <c r="AJ85" s="1"/>
      <c r="AK85" s="1"/>
      <c r="AL85" s="1"/>
      <c r="AM85" s="1"/>
    </row>
    <row r="86" spans="1:39" ht="18.899999999999999" customHeight="1" x14ac:dyDescent="0.3">
      <c r="A86"/>
      <c r="B86" s="34"/>
      <c r="C86" s="96" t="s">
        <v>162</v>
      </c>
      <c r="D86" s="97" t="s">
        <v>162</v>
      </c>
      <c r="E86" s="14" t="s">
        <v>156</v>
      </c>
      <c r="F86" s="71"/>
      <c r="G86" s="71">
        <v>1</v>
      </c>
      <c r="H86" s="71"/>
      <c r="I86" s="71"/>
      <c r="J86" s="71"/>
      <c r="K86" s="71">
        <v>1</v>
      </c>
      <c r="L86" s="26" t="s">
        <v>366</v>
      </c>
      <c r="M86" s="2"/>
      <c r="N86" s="2"/>
      <c r="O86" s="2"/>
      <c r="P86" s="2"/>
      <c r="Q86" s="2"/>
      <c r="R86" s="2"/>
      <c r="S86" s="2"/>
      <c r="T86" s="2"/>
      <c r="U86" s="2"/>
      <c r="V86" s="2"/>
      <c r="W86" s="2"/>
      <c r="X86" s="2"/>
      <c r="Y86" s="2"/>
      <c r="Z86" s="2"/>
      <c r="AA86" s="2"/>
      <c r="AB86" s="2"/>
      <c r="AC86" s="2"/>
      <c r="AD86" s="2"/>
      <c r="AE86" s="2"/>
      <c r="AF86" s="2"/>
      <c r="AG86" s="2"/>
      <c r="AH86" s="1"/>
      <c r="AI86" s="1"/>
      <c r="AJ86" s="1"/>
      <c r="AK86" s="1"/>
      <c r="AL86" s="1"/>
      <c r="AM86" s="1"/>
    </row>
    <row r="87" spans="1:39" ht="18.899999999999999" customHeight="1" x14ac:dyDescent="0.3">
      <c r="A87"/>
      <c r="B87" s="34"/>
      <c r="C87" s="96" t="s">
        <v>163</v>
      </c>
      <c r="D87" s="97" t="s">
        <v>163</v>
      </c>
      <c r="E87" s="14" t="s">
        <v>156</v>
      </c>
      <c r="F87" s="71"/>
      <c r="G87" s="71">
        <v>1</v>
      </c>
      <c r="H87" s="71"/>
      <c r="I87" s="71"/>
      <c r="J87" s="71"/>
      <c r="K87" s="71">
        <v>1</v>
      </c>
      <c r="L87" s="26" t="s">
        <v>366</v>
      </c>
      <c r="M87" s="2"/>
      <c r="N87" s="2"/>
      <c r="O87" s="2"/>
      <c r="P87" s="2"/>
      <c r="Q87" s="2"/>
      <c r="R87" s="2"/>
      <c r="S87" s="2"/>
      <c r="T87" s="2"/>
      <c r="U87" s="2"/>
      <c r="V87" s="2"/>
      <c r="W87" s="2"/>
      <c r="X87" s="2"/>
      <c r="Y87" s="2"/>
      <c r="Z87" s="2"/>
      <c r="AA87" s="2"/>
      <c r="AB87" s="2"/>
      <c r="AC87" s="2"/>
      <c r="AD87" s="2"/>
      <c r="AE87" s="2"/>
      <c r="AF87" s="2"/>
      <c r="AG87" s="2"/>
      <c r="AH87" s="1"/>
      <c r="AI87" s="1"/>
      <c r="AJ87" s="1"/>
      <c r="AK87" s="1"/>
      <c r="AL87" s="1"/>
      <c r="AM87" s="1"/>
    </row>
    <row r="88" spans="1:39" ht="18.899999999999999" customHeight="1" x14ac:dyDescent="0.3">
      <c r="A88"/>
      <c r="B88" s="34"/>
      <c r="C88" s="96" t="s">
        <v>164</v>
      </c>
      <c r="D88" s="97" t="s">
        <v>164</v>
      </c>
      <c r="E88" s="14" t="s">
        <v>156</v>
      </c>
      <c r="F88" s="71"/>
      <c r="G88" s="71">
        <v>1</v>
      </c>
      <c r="H88" s="71"/>
      <c r="I88" s="71"/>
      <c r="J88" s="71"/>
      <c r="K88" s="71">
        <v>1</v>
      </c>
      <c r="L88" s="26" t="s">
        <v>366</v>
      </c>
      <c r="M88" s="2"/>
      <c r="N88" s="2"/>
      <c r="O88" s="2"/>
      <c r="P88" s="2"/>
      <c r="Q88" s="2"/>
      <c r="R88" s="2"/>
      <c r="S88" s="2"/>
      <c r="T88" s="2"/>
      <c r="U88" s="2"/>
      <c r="V88" s="2"/>
      <c r="W88" s="2"/>
      <c r="X88" s="2"/>
      <c r="Y88" s="2"/>
      <c r="Z88" s="2"/>
      <c r="AA88" s="2"/>
      <c r="AB88" s="2"/>
      <c r="AC88" s="2"/>
      <c r="AD88" s="2"/>
      <c r="AE88" s="2"/>
      <c r="AF88" s="2"/>
      <c r="AG88" s="2"/>
      <c r="AH88" s="1"/>
      <c r="AI88" s="1"/>
      <c r="AJ88" s="1"/>
      <c r="AK88" s="1"/>
      <c r="AL88" s="1"/>
      <c r="AM88" s="1"/>
    </row>
    <row r="89" spans="1:39" ht="18.899999999999999" customHeight="1" x14ac:dyDescent="0.3">
      <c r="A89"/>
      <c r="B89" s="34"/>
      <c r="C89" s="96" t="s">
        <v>165</v>
      </c>
      <c r="D89" s="97" t="s">
        <v>165</v>
      </c>
      <c r="E89" s="14" t="s">
        <v>156</v>
      </c>
      <c r="F89" s="71"/>
      <c r="G89" s="71">
        <v>1</v>
      </c>
      <c r="H89" s="71"/>
      <c r="I89" s="71"/>
      <c r="J89" s="71"/>
      <c r="K89" s="71">
        <v>1</v>
      </c>
      <c r="L89" s="26" t="s">
        <v>366</v>
      </c>
      <c r="M89" s="2"/>
      <c r="N89" s="2"/>
      <c r="O89" s="2"/>
      <c r="P89" s="2"/>
      <c r="Q89" s="2"/>
      <c r="R89" s="2"/>
      <c r="S89" s="2"/>
      <c r="T89" s="2"/>
      <c r="U89" s="2"/>
      <c r="V89" s="2"/>
      <c r="W89" s="2"/>
      <c r="X89" s="2"/>
      <c r="Y89" s="2"/>
      <c r="Z89" s="2"/>
      <c r="AA89" s="2"/>
      <c r="AB89" s="2"/>
      <c r="AC89" s="2"/>
      <c r="AD89" s="2"/>
      <c r="AE89" s="2"/>
      <c r="AF89" s="2"/>
      <c r="AG89" s="2"/>
      <c r="AH89" s="1"/>
      <c r="AI89" s="1"/>
      <c r="AJ89" s="1"/>
      <c r="AK89" s="1"/>
      <c r="AL89" s="1"/>
      <c r="AM89" s="1"/>
    </row>
    <row r="90" spans="1:39" ht="18.899999999999999" customHeight="1" x14ac:dyDescent="0.3">
      <c r="A90"/>
      <c r="B90" s="34"/>
      <c r="C90" s="96" t="s">
        <v>166</v>
      </c>
      <c r="D90" s="97" t="s">
        <v>166</v>
      </c>
      <c r="E90" s="14" t="s">
        <v>156</v>
      </c>
      <c r="F90" s="71"/>
      <c r="G90" s="71">
        <v>1</v>
      </c>
      <c r="H90" s="71"/>
      <c r="I90" s="71"/>
      <c r="J90" s="71"/>
      <c r="K90" s="71">
        <v>1</v>
      </c>
      <c r="L90" s="26" t="s">
        <v>366</v>
      </c>
      <c r="M90" s="2"/>
      <c r="N90" s="2"/>
      <c r="O90" s="2"/>
      <c r="P90" s="2"/>
      <c r="Q90" s="2"/>
      <c r="R90" s="2"/>
      <c r="S90" s="2"/>
      <c r="T90" s="2"/>
      <c r="U90" s="2"/>
      <c r="V90" s="2"/>
      <c r="W90" s="2"/>
      <c r="X90" s="2"/>
      <c r="Y90" s="2"/>
      <c r="Z90" s="2"/>
      <c r="AA90" s="2"/>
      <c r="AB90" s="2"/>
      <c r="AC90" s="2"/>
      <c r="AD90" s="2"/>
      <c r="AE90" s="2"/>
      <c r="AF90" s="2"/>
      <c r="AG90" s="2"/>
      <c r="AH90" s="1"/>
      <c r="AI90" s="1"/>
      <c r="AJ90" s="1"/>
      <c r="AK90" s="1"/>
      <c r="AL90" s="1"/>
      <c r="AM90" s="1"/>
    </row>
    <row r="91" spans="1:39" ht="18.899999999999999" customHeight="1" x14ac:dyDescent="0.3">
      <c r="A91"/>
      <c r="B91" s="34"/>
      <c r="C91" s="96" t="s">
        <v>167</v>
      </c>
      <c r="D91" s="97" t="s">
        <v>167</v>
      </c>
      <c r="E91" s="14" t="s">
        <v>156</v>
      </c>
      <c r="F91" s="71"/>
      <c r="G91" s="71">
        <v>1</v>
      </c>
      <c r="H91" s="71"/>
      <c r="I91" s="71"/>
      <c r="J91" s="71"/>
      <c r="K91" s="71">
        <v>1</v>
      </c>
      <c r="L91" s="26" t="s">
        <v>366</v>
      </c>
      <c r="M91" s="2"/>
      <c r="N91" s="2"/>
      <c r="O91" s="2"/>
      <c r="P91" s="2"/>
      <c r="Q91" s="2"/>
      <c r="R91" s="2"/>
      <c r="S91" s="2"/>
      <c r="T91" s="2"/>
      <c r="U91" s="2"/>
      <c r="V91" s="2"/>
      <c r="W91" s="2"/>
      <c r="X91" s="2"/>
      <c r="Y91" s="2"/>
      <c r="Z91" s="2"/>
      <c r="AA91" s="2"/>
      <c r="AB91" s="2"/>
      <c r="AC91" s="2"/>
      <c r="AD91" s="2"/>
      <c r="AE91" s="2"/>
      <c r="AF91" s="2"/>
      <c r="AG91" s="2"/>
      <c r="AH91" s="1"/>
      <c r="AI91" s="1"/>
      <c r="AJ91" s="1"/>
      <c r="AK91" s="1"/>
      <c r="AL91" s="1"/>
      <c r="AM91" s="1"/>
    </row>
    <row r="92" spans="1:39" ht="18.899999999999999" customHeight="1" x14ac:dyDescent="0.3">
      <c r="A92"/>
      <c r="B92" s="34"/>
      <c r="C92" s="95" t="s">
        <v>168</v>
      </c>
      <c r="D92" s="44" t="s">
        <v>152</v>
      </c>
      <c r="E92" s="14" t="s">
        <v>153</v>
      </c>
      <c r="F92" s="71"/>
      <c r="G92" s="71">
        <v>1</v>
      </c>
      <c r="H92" s="71"/>
      <c r="I92" s="71"/>
      <c r="J92" s="71"/>
      <c r="K92" s="71">
        <v>1</v>
      </c>
      <c r="L92" s="26" t="s">
        <v>366</v>
      </c>
      <c r="M92" s="2"/>
      <c r="N92" s="2"/>
      <c r="O92" s="2"/>
      <c r="P92" s="2"/>
      <c r="Q92" s="2"/>
      <c r="R92" s="2"/>
      <c r="S92" s="2"/>
      <c r="T92" s="2"/>
      <c r="U92" s="2"/>
      <c r="V92" s="2"/>
      <c r="W92" s="2"/>
      <c r="X92" s="2"/>
      <c r="Y92" s="2"/>
      <c r="Z92" s="2"/>
      <c r="AA92" s="2"/>
      <c r="AB92" s="2"/>
      <c r="AC92" s="2"/>
      <c r="AD92" s="2"/>
      <c r="AE92" s="2"/>
      <c r="AF92" s="2"/>
      <c r="AG92" s="2"/>
      <c r="AH92" s="1"/>
      <c r="AI92" s="1"/>
      <c r="AJ92" s="1"/>
      <c r="AK92" s="1"/>
      <c r="AL92" s="1"/>
      <c r="AM92" s="1"/>
    </row>
    <row r="93" spans="1:39" ht="33.9" customHeight="1" x14ac:dyDescent="0.3">
      <c r="A93"/>
      <c r="B93" s="34"/>
      <c r="C93" s="95" t="s">
        <v>128</v>
      </c>
      <c r="D93" s="89" t="s">
        <v>169</v>
      </c>
      <c r="E93" s="90" t="s">
        <v>170</v>
      </c>
      <c r="F93" s="71"/>
      <c r="G93" s="71">
        <v>1</v>
      </c>
      <c r="H93" s="71"/>
      <c r="I93" s="71"/>
      <c r="J93" s="71"/>
      <c r="K93" s="71">
        <v>1</v>
      </c>
      <c r="L93" s="26" t="s">
        <v>366</v>
      </c>
      <c r="M93" s="2"/>
      <c r="N93" s="2"/>
      <c r="O93" s="2"/>
      <c r="P93" s="2"/>
      <c r="Q93" s="2"/>
      <c r="R93" s="2"/>
      <c r="S93" s="2"/>
      <c r="T93" s="2"/>
      <c r="U93" s="2"/>
      <c r="V93" s="2"/>
      <c r="W93" s="2"/>
      <c r="X93" s="2"/>
      <c r="Y93" s="2"/>
      <c r="Z93" s="2"/>
      <c r="AA93" s="2"/>
      <c r="AB93" s="2"/>
      <c r="AC93" s="2"/>
      <c r="AD93" s="2"/>
      <c r="AE93" s="2"/>
      <c r="AF93" s="2"/>
      <c r="AG93" s="2"/>
      <c r="AH93" s="1"/>
      <c r="AI93" s="1"/>
      <c r="AJ93" s="1"/>
      <c r="AK93" s="1"/>
      <c r="AL93" s="1"/>
      <c r="AM93" s="1"/>
    </row>
    <row r="94" spans="1:39" ht="18.899999999999999" customHeight="1" x14ac:dyDescent="0.3">
      <c r="A94"/>
      <c r="B94" s="34"/>
      <c r="C94" s="95" t="s">
        <v>171</v>
      </c>
      <c r="D94" s="44" t="s">
        <v>172</v>
      </c>
      <c r="E94" s="14" t="s">
        <v>173</v>
      </c>
      <c r="F94" s="71"/>
      <c r="G94" s="71">
        <v>1</v>
      </c>
      <c r="H94" s="71"/>
      <c r="I94" s="71"/>
      <c r="J94" s="71"/>
      <c r="K94" s="71">
        <v>1</v>
      </c>
      <c r="L94" s="26" t="s">
        <v>366</v>
      </c>
      <c r="M94" s="2"/>
      <c r="N94" s="2"/>
      <c r="O94" s="2"/>
      <c r="P94" s="2"/>
      <c r="Q94" s="2"/>
      <c r="R94" s="2"/>
      <c r="S94" s="2"/>
      <c r="T94" s="2"/>
      <c r="U94" s="2"/>
      <c r="V94" s="2"/>
      <c r="W94" s="2"/>
      <c r="X94" s="2"/>
      <c r="Y94" s="2"/>
      <c r="Z94" s="2"/>
      <c r="AA94" s="2"/>
      <c r="AB94" s="2"/>
      <c r="AC94" s="2"/>
      <c r="AD94" s="2"/>
      <c r="AE94" s="2"/>
      <c r="AF94" s="2"/>
      <c r="AG94" s="2"/>
      <c r="AH94" s="1"/>
      <c r="AI94" s="1"/>
      <c r="AJ94" s="1"/>
      <c r="AK94" s="1"/>
      <c r="AL94" s="1"/>
      <c r="AM94" s="1"/>
    </row>
    <row r="95" spans="1:39" ht="33.9" customHeight="1" x14ac:dyDescent="0.3">
      <c r="A95"/>
      <c r="B95" s="34"/>
      <c r="C95" s="25" t="s">
        <v>174</v>
      </c>
      <c r="D95" s="44" t="s">
        <v>175</v>
      </c>
      <c r="E95" s="90" t="s">
        <v>176</v>
      </c>
      <c r="F95" s="71"/>
      <c r="G95" s="71">
        <v>1</v>
      </c>
      <c r="H95" s="71"/>
      <c r="I95" s="71"/>
      <c r="J95" s="71"/>
      <c r="K95" s="71">
        <v>1</v>
      </c>
      <c r="L95" s="26" t="s">
        <v>366</v>
      </c>
      <c r="M95" s="2"/>
      <c r="N95" s="2"/>
      <c r="O95" s="2"/>
      <c r="P95" s="2"/>
      <c r="Q95" s="2"/>
      <c r="R95" s="2"/>
      <c r="S95" s="2"/>
      <c r="T95" s="2"/>
      <c r="U95" s="2"/>
      <c r="V95" s="2"/>
      <c r="W95" s="2"/>
      <c r="X95" s="2"/>
      <c r="Y95" s="2"/>
      <c r="Z95" s="2"/>
      <c r="AA95" s="2"/>
      <c r="AB95" s="2"/>
      <c r="AC95" s="2"/>
      <c r="AD95" s="2"/>
      <c r="AE95" s="2"/>
      <c r="AF95" s="2"/>
      <c r="AG95" s="2"/>
      <c r="AH95" s="1"/>
      <c r="AI95" s="1"/>
      <c r="AJ95" s="1"/>
      <c r="AK95" s="1"/>
      <c r="AL95" s="1"/>
      <c r="AM95" s="1"/>
    </row>
    <row r="96" spans="1:39" ht="33.9" customHeight="1" x14ac:dyDescent="0.3">
      <c r="A96"/>
      <c r="B96" s="34"/>
      <c r="C96" s="59" t="s">
        <v>31</v>
      </c>
      <c r="D96" s="32" t="s">
        <v>32</v>
      </c>
      <c r="E96" s="32" t="s">
        <v>33</v>
      </c>
      <c r="F96" s="73"/>
      <c r="G96" s="73">
        <v>1</v>
      </c>
      <c r="H96" s="73"/>
      <c r="I96" s="73"/>
      <c r="J96" s="73"/>
      <c r="K96" s="73">
        <v>1</v>
      </c>
      <c r="L96" s="26" t="s">
        <v>366</v>
      </c>
      <c r="M96" s="2"/>
      <c r="N96" s="2"/>
      <c r="O96" s="2"/>
      <c r="P96" s="2"/>
      <c r="Q96" s="2"/>
      <c r="R96" s="2"/>
      <c r="S96" s="2"/>
      <c r="T96" s="2"/>
      <c r="U96" s="2"/>
      <c r="V96" s="2"/>
      <c r="W96" s="2"/>
      <c r="X96" s="2"/>
      <c r="Y96" s="2"/>
      <c r="Z96" s="2"/>
      <c r="AA96" s="2"/>
      <c r="AB96" s="2"/>
      <c r="AC96" s="2"/>
      <c r="AD96" s="2"/>
      <c r="AE96" s="2"/>
      <c r="AF96" s="2"/>
      <c r="AG96" s="2"/>
      <c r="AH96" s="1"/>
      <c r="AI96" s="1"/>
      <c r="AJ96" s="1"/>
      <c r="AK96" s="1"/>
      <c r="AL96" s="1"/>
      <c r="AM96" s="1"/>
    </row>
    <row r="97" spans="1:39" ht="18.899999999999999" customHeight="1" x14ac:dyDescent="0.3">
      <c r="A97"/>
      <c r="B97" s="34"/>
      <c r="C97" s="59" t="s">
        <v>34</v>
      </c>
      <c r="D97" s="32" t="s">
        <v>35</v>
      </c>
      <c r="E97" s="32"/>
      <c r="F97" s="73"/>
      <c r="G97" s="73">
        <v>1</v>
      </c>
      <c r="H97" s="73"/>
      <c r="I97" s="73"/>
      <c r="J97" s="73"/>
      <c r="K97" s="73">
        <v>1</v>
      </c>
      <c r="L97" s="26" t="s">
        <v>366</v>
      </c>
      <c r="M97" s="2"/>
      <c r="N97" s="2"/>
      <c r="O97" s="2"/>
      <c r="P97" s="2"/>
      <c r="Q97" s="2"/>
      <c r="R97" s="2"/>
      <c r="S97" s="2"/>
      <c r="T97" s="2"/>
      <c r="U97" s="2"/>
      <c r="V97" s="2"/>
      <c r="W97" s="2"/>
      <c r="X97" s="2"/>
      <c r="Y97" s="2"/>
      <c r="Z97" s="2"/>
      <c r="AA97" s="2"/>
      <c r="AB97" s="2"/>
      <c r="AC97" s="2"/>
      <c r="AD97" s="2"/>
      <c r="AE97" s="2"/>
      <c r="AF97" s="2"/>
      <c r="AG97" s="2"/>
      <c r="AH97" s="1"/>
      <c r="AI97" s="1"/>
      <c r="AJ97" s="1"/>
      <c r="AK97" s="1"/>
      <c r="AL97" s="1"/>
      <c r="AM97" s="1"/>
    </row>
    <row r="98" spans="1:39" ht="33.9" customHeight="1" x14ac:dyDescent="0.3">
      <c r="A98"/>
      <c r="B98" s="34"/>
      <c r="C98" s="125" t="s">
        <v>36</v>
      </c>
      <c r="D98" s="126" t="s">
        <v>36</v>
      </c>
      <c r="E98" s="32" t="s">
        <v>37</v>
      </c>
      <c r="F98" s="73"/>
      <c r="G98" s="73">
        <v>1</v>
      </c>
      <c r="H98" s="73"/>
      <c r="I98" s="73"/>
      <c r="J98" s="73"/>
      <c r="K98" s="73">
        <v>1</v>
      </c>
      <c r="L98" s="26" t="s">
        <v>366</v>
      </c>
      <c r="M98" s="2"/>
      <c r="N98" s="2"/>
      <c r="O98" s="2"/>
      <c r="P98" s="2"/>
      <c r="Q98" s="2"/>
      <c r="R98" s="2"/>
      <c r="S98" s="2"/>
      <c r="T98" s="2"/>
      <c r="U98" s="2"/>
      <c r="V98" s="2"/>
      <c r="W98" s="2"/>
      <c r="X98" s="2"/>
      <c r="Y98" s="2"/>
      <c r="Z98" s="2"/>
      <c r="AA98" s="2"/>
      <c r="AB98" s="2"/>
      <c r="AC98" s="2"/>
      <c r="AD98" s="2"/>
      <c r="AE98" s="2"/>
      <c r="AF98" s="2"/>
      <c r="AG98" s="2"/>
      <c r="AH98" s="1"/>
      <c r="AI98" s="1"/>
      <c r="AJ98" s="1"/>
      <c r="AK98" s="1"/>
      <c r="AL98" s="1"/>
      <c r="AM98" s="1"/>
    </row>
    <row r="99" spans="1:39" ht="33.9" customHeight="1" x14ac:dyDescent="0.3">
      <c r="A99"/>
      <c r="B99" s="34"/>
      <c r="C99" s="125" t="s">
        <v>38</v>
      </c>
      <c r="D99" s="126" t="s">
        <v>38</v>
      </c>
      <c r="E99" s="32" t="s">
        <v>39</v>
      </c>
      <c r="F99" s="73"/>
      <c r="G99" s="73">
        <v>1</v>
      </c>
      <c r="H99" s="73"/>
      <c r="I99" s="73"/>
      <c r="J99" s="73"/>
      <c r="K99" s="73">
        <v>1</v>
      </c>
      <c r="L99" s="26" t="s">
        <v>366</v>
      </c>
      <c r="M99" s="2"/>
      <c r="N99" s="2"/>
      <c r="O99" s="2"/>
      <c r="P99" s="2"/>
      <c r="Q99" s="2"/>
      <c r="R99" s="2"/>
      <c r="S99" s="2"/>
      <c r="T99" s="2"/>
      <c r="U99" s="2"/>
      <c r="V99" s="2"/>
      <c r="W99" s="2"/>
      <c r="X99" s="2"/>
      <c r="Y99" s="2"/>
      <c r="Z99" s="2"/>
      <c r="AA99" s="2"/>
      <c r="AB99" s="2"/>
      <c r="AC99" s="2"/>
      <c r="AD99" s="2"/>
      <c r="AE99" s="2"/>
      <c r="AF99" s="2"/>
      <c r="AG99" s="2"/>
      <c r="AH99" s="1"/>
      <c r="AI99" s="1"/>
      <c r="AJ99" s="1"/>
      <c r="AK99" s="1"/>
      <c r="AL99" s="1"/>
      <c r="AM99" s="1"/>
    </row>
    <row r="100" spans="1:39" ht="33.9" customHeight="1" x14ac:dyDescent="0.3">
      <c r="A100"/>
      <c r="B100" s="34"/>
      <c r="C100" s="125" t="s">
        <v>40</v>
      </c>
      <c r="D100" s="126" t="s">
        <v>40</v>
      </c>
      <c r="E100" s="32" t="s">
        <v>41</v>
      </c>
      <c r="F100" s="73"/>
      <c r="G100" s="73">
        <v>1</v>
      </c>
      <c r="H100" s="73"/>
      <c r="I100" s="73"/>
      <c r="J100" s="73"/>
      <c r="K100" s="73">
        <v>1</v>
      </c>
      <c r="L100" s="26" t="s">
        <v>366</v>
      </c>
      <c r="M100" s="2"/>
      <c r="N100" s="2"/>
      <c r="O100" s="2"/>
      <c r="P100" s="2"/>
      <c r="Q100" s="2"/>
      <c r="R100" s="2"/>
      <c r="S100" s="2"/>
      <c r="T100" s="2"/>
      <c r="U100" s="2"/>
      <c r="V100" s="2"/>
      <c r="W100" s="2"/>
      <c r="X100" s="2"/>
      <c r="Y100" s="2"/>
      <c r="Z100" s="2"/>
      <c r="AA100" s="2"/>
      <c r="AB100" s="2"/>
      <c r="AC100" s="2"/>
      <c r="AD100" s="2"/>
      <c r="AE100" s="2"/>
      <c r="AF100" s="2"/>
      <c r="AG100" s="2"/>
      <c r="AH100" s="1"/>
      <c r="AI100" s="1"/>
      <c r="AJ100" s="1"/>
      <c r="AK100" s="1"/>
      <c r="AL100" s="1"/>
      <c r="AM100" s="1"/>
    </row>
    <row r="101" spans="1:39" ht="33.9" customHeight="1" x14ac:dyDescent="0.3">
      <c r="A101"/>
      <c r="B101" s="34"/>
      <c r="C101" s="125" t="s">
        <v>42</v>
      </c>
      <c r="D101" s="126" t="s">
        <v>42</v>
      </c>
      <c r="E101" s="32" t="s">
        <v>33</v>
      </c>
      <c r="F101" s="73"/>
      <c r="G101" s="73">
        <v>1</v>
      </c>
      <c r="H101" s="73"/>
      <c r="I101" s="73"/>
      <c r="J101" s="73"/>
      <c r="K101" s="73">
        <v>1</v>
      </c>
      <c r="L101" s="26" t="s">
        <v>366</v>
      </c>
      <c r="M101" s="2"/>
      <c r="N101" s="2"/>
      <c r="O101" s="2"/>
      <c r="P101" s="2"/>
      <c r="Q101" s="2"/>
      <c r="R101" s="2"/>
      <c r="S101" s="2"/>
      <c r="T101" s="2"/>
      <c r="U101" s="2"/>
      <c r="V101" s="2"/>
      <c r="W101" s="2"/>
      <c r="X101" s="2"/>
      <c r="Y101" s="2"/>
      <c r="Z101" s="2"/>
      <c r="AA101" s="2"/>
      <c r="AB101" s="2"/>
      <c r="AC101" s="2"/>
      <c r="AD101" s="2"/>
      <c r="AE101" s="2"/>
      <c r="AF101" s="2"/>
      <c r="AG101" s="2"/>
      <c r="AH101" s="1"/>
      <c r="AI101" s="1"/>
      <c r="AJ101" s="1"/>
      <c r="AK101" s="1"/>
      <c r="AL101" s="1"/>
      <c r="AM101" s="1"/>
    </row>
    <row r="102" spans="1:39" ht="33.9" customHeight="1" x14ac:dyDescent="0.3">
      <c r="A102"/>
      <c r="B102" s="34"/>
      <c r="C102" s="125" t="s">
        <v>43</v>
      </c>
      <c r="D102" s="126" t="s">
        <v>43</v>
      </c>
      <c r="E102" s="32" t="s">
        <v>44</v>
      </c>
      <c r="F102" s="73"/>
      <c r="G102" s="73">
        <v>1</v>
      </c>
      <c r="H102" s="73"/>
      <c r="I102" s="73"/>
      <c r="J102" s="73"/>
      <c r="K102" s="73">
        <v>1</v>
      </c>
      <c r="L102" s="26" t="s">
        <v>366</v>
      </c>
      <c r="M102" s="2"/>
      <c r="N102" s="2"/>
      <c r="O102" s="2"/>
      <c r="P102" s="2"/>
      <c r="Q102" s="2"/>
      <c r="R102" s="2"/>
      <c r="S102" s="2"/>
      <c r="T102" s="2"/>
      <c r="U102" s="2"/>
      <c r="V102" s="2"/>
      <c r="W102" s="2"/>
      <c r="X102" s="2"/>
      <c r="Y102" s="2"/>
      <c r="Z102" s="2"/>
      <c r="AA102" s="2"/>
      <c r="AB102" s="2"/>
      <c r="AC102" s="2"/>
      <c r="AD102" s="2"/>
      <c r="AE102" s="2"/>
      <c r="AF102" s="2"/>
      <c r="AG102" s="2"/>
      <c r="AH102" s="1"/>
      <c r="AI102" s="1"/>
      <c r="AJ102" s="1"/>
      <c r="AK102" s="1"/>
      <c r="AL102" s="1"/>
      <c r="AM102" s="1"/>
    </row>
    <row r="103" spans="1:39" ht="33.9" customHeight="1" x14ac:dyDescent="0.3">
      <c r="A103"/>
      <c r="B103" s="34"/>
      <c r="C103" s="59" t="s">
        <v>177</v>
      </c>
      <c r="D103" s="32" t="s">
        <v>51</v>
      </c>
      <c r="E103" s="127" t="s">
        <v>52</v>
      </c>
      <c r="F103" s="73"/>
      <c r="G103" s="73">
        <v>1</v>
      </c>
      <c r="H103" s="73"/>
      <c r="I103" s="73"/>
      <c r="J103" s="73"/>
      <c r="K103" s="73">
        <v>1</v>
      </c>
      <c r="L103" s="26" t="s">
        <v>366</v>
      </c>
      <c r="M103" s="2"/>
      <c r="N103" s="2"/>
      <c r="O103" s="2"/>
      <c r="P103" s="2"/>
      <c r="Q103" s="2"/>
      <c r="R103" s="2"/>
      <c r="S103" s="2"/>
      <c r="T103" s="2"/>
      <c r="U103" s="2"/>
      <c r="V103" s="2"/>
      <c r="W103" s="2"/>
      <c r="X103" s="2"/>
      <c r="Y103" s="2"/>
      <c r="Z103" s="2"/>
      <c r="AA103" s="2"/>
      <c r="AB103" s="2"/>
      <c r="AC103" s="2"/>
      <c r="AD103" s="2"/>
      <c r="AE103" s="2"/>
      <c r="AF103" s="2"/>
      <c r="AG103" s="2"/>
      <c r="AH103" s="1"/>
      <c r="AI103" s="1"/>
      <c r="AJ103" s="1"/>
      <c r="AK103" s="1"/>
      <c r="AL103" s="1"/>
      <c r="AM103" s="1"/>
    </row>
    <row r="104" spans="1:39" ht="33.9" customHeight="1" x14ac:dyDescent="0.3">
      <c r="A104"/>
      <c r="B104" s="34"/>
      <c r="C104" s="59" t="s">
        <v>178</v>
      </c>
      <c r="D104" s="32" t="s">
        <v>54</v>
      </c>
      <c r="E104" s="127" t="s">
        <v>55</v>
      </c>
      <c r="F104" s="73"/>
      <c r="G104" s="73">
        <v>1</v>
      </c>
      <c r="H104" s="73"/>
      <c r="I104" s="73"/>
      <c r="J104" s="73"/>
      <c r="K104" s="73">
        <v>1</v>
      </c>
      <c r="L104" s="26" t="s">
        <v>366</v>
      </c>
      <c r="M104" s="2"/>
      <c r="N104" s="2"/>
      <c r="O104" s="2"/>
      <c r="P104" s="2"/>
      <c r="Q104" s="2"/>
      <c r="R104" s="2"/>
      <c r="S104" s="2"/>
      <c r="T104" s="2"/>
      <c r="U104" s="2"/>
      <c r="V104" s="2"/>
      <c r="W104" s="2"/>
      <c r="X104" s="2"/>
      <c r="Y104" s="2"/>
      <c r="Z104" s="2"/>
      <c r="AA104" s="2"/>
      <c r="AB104" s="2"/>
      <c r="AC104" s="2"/>
      <c r="AD104" s="2"/>
      <c r="AE104" s="2"/>
      <c r="AF104" s="2"/>
      <c r="AG104" s="2"/>
      <c r="AH104" s="1"/>
      <c r="AI104" s="1"/>
      <c r="AJ104" s="1"/>
      <c r="AK104" s="1"/>
      <c r="AL104" s="1"/>
      <c r="AM104" s="1"/>
    </row>
    <row r="105" spans="1:39" ht="21.9" customHeight="1" thickBot="1" x14ac:dyDescent="0.35">
      <c r="A105"/>
      <c r="B105" s="34"/>
      <c r="C105" s="27"/>
      <c r="D105" s="43"/>
      <c r="E105" s="28"/>
      <c r="F105" s="72"/>
      <c r="G105" s="72"/>
      <c r="H105" s="72"/>
      <c r="I105" s="72"/>
      <c r="J105" s="72"/>
      <c r="K105" s="72"/>
      <c r="L105" s="30"/>
      <c r="M105" s="2"/>
      <c r="N105" s="2"/>
      <c r="O105" s="2"/>
      <c r="P105" s="2"/>
      <c r="Q105" s="2"/>
      <c r="R105" s="2"/>
      <c r="S105" s="2"/>
      <c r="T105" s="2"/>
      <c r="U105" s="2"/>
      <c r="V105" s="2"/>
      <c r="W105" s="2"/>
      <c r="X105" s="2"/>
      <c r="Y105" s="2"/>
      <c r="Z105" s="2"/>
      <c r="AA105" s="2"/>
      <c r="AB105" s="2"/>
      <c r="AC105" s="2"/>
      <c r="AD105" s="2"/>
      <c r="AE105" s="2"/>
      <c r="AF105" s="2"/>
      <c r="AG105" s="2"/>
      <c r="AH105" s="1"/>
      <c r="AI105" s="1"/>
      <c r="AJ105" s="1"/>
      <c r="AK105" s="1"/>
      <c r="AL105" s="1"/>
      <c r="AM105" s="1"/>
    </row>
    <row r="106" spans="1:39" ht="20.100000000000001" customHeight="1" x14ac:dyDescent="0.3">
      <c r="A106"/>
      <c r="B106" s="8"/>
      <c r="C106" s="8"/>
      <c r="D106" s="38"/>
      <c r="E106" s="10"/>
      <c r="F106" s="70">
        <f t="shared" ref="F106:K106" si="5">SUM(F75:F105)</f>
        <v>0</v>
      </c>
      <c r="G106" s="70">
        <f t="shared" si="5"/>
        <v>30</v>
      </c>
      <c r="H106" s="70">
        <f t="shared" si="5"/>
        <v>0</v>
      </c>
      <c r="I106" s="70">
        <f t="shared" si="5"/>
        <v>0</v>
      </c>
      <c r="J106" s="70">
        <f t="shared" si="5"/>
        <v>0</v>
      </c>
      <c r="K106" s="70">
        <f t="shared" si="5"/>
        <v>30</v>
      </c>
      <c r="L106" s="2"/>
      <c r="M106" s="2"/>
      <c r="N106" s="2"/>
      <c r="O106" s="2"/>
      <c r="P106" s="2"/>
      <c r="Q106" s="2"/>
      <c r="R106" s="2"/>
      <c r="S106" s="2"/>
      <c r="T106" s="2"/>
      <c r="U106" s="2"/>
      <c r="V106" s="2"/>
      <c r="W106" s="2"/>
      <c r="X106" s="2"/>
      <c r="Y106" s="2"/>
      <c r="Z106" s="2"/>
      <c r="AA106" s="2"/>
      <c r="AB106" s="2"/>
      <c r="AC106" s="2"/>
      <c r="AD106" s="2"/>
      <c r="AE106" s="2"/>
      <c r="AF106" s="2"/>
      <c r="AG106" s="2"/>
      <c r="AH106" s="1"/>
      <c r="AI106" s="1"/>
      <c r="AJ106" s="1"/>
      <c r="AK106" s="1"/>
      <c r="AL106" s="1"/>
      <c r="AM106" s="1"/>
    </row>
    <row r="107" spans="1:39" ht="20.100000000000001" customHeight="1" thickBot="1" x14ac:dyDescent="0.35">
      <c r="A107"/>
      <c r="B107" s="52"/>
      <c r="C107" s="165" t="s">
        <v>179</v>
      </c>
      <c r="D107" s="165"/>
      <c r="E107" s="6"/>
      <c r="F107" s="70"/>
      <c r="G107" s="70"/>
      <c r="H107" s="70"/>
      <c r="I107" s="70"/>
      <c r="J107" s="70"/>
      <c r="K107" s="70"/>
      <c r="L107" s="11"/>
      <c r="M107" s="2"/>
      <c r="N107" s="2"/>
      <c r="O107" s="2"/>
      <c r="P107" s="2"/>
      <c r="Q107" s="2"/>
      <c r="R107" s="2"/>
      <c r="S107" s="2"/>
      <c r="T107" s="2"/>
      <c r="U107" s="2"/>
      <c r="V107" s="2"/>
      <c r="W107" s="2"/>
      <c r="X107" s="2"/>
      <c r="Y107" s="2"/>
      <c r="Z107" s="2"/>
      <c r="AA107" s="2"/>
      <c r="AB107" s="2"/>
      <c r="AC107" s="2"/>
      <c r="AD107" s="2"/>
      <c r="AE107" s="2"/>
      <c r="AF107" s="2"/>
      <c r="AG107" s="2"/>
      <c r="AH107" s="1"/>
      <c r="AI107" s="1"/>
      <c r="AJ107" s="1"/>
      <c r="AK107" s="1"/>
      <c r="AL107" s="1"/>
      <c r="AM107" s="1"/>
    </row>
    <row r="108" spans="1:39" ht="20.100000000000001" customHeight="1" x14ac:dyDescent="0.3">
      <c r="A108"/>
      <c r="B108" s="67"/>
      <c r="C108" s="18" t="s">
        <v>14</v>
      </c>
      <c r="D108" s="40" t="s">
        <v>15</v>
      </c>
      <c r="E108" s="19" t="s">
        <v>16</v>
      </c>
      <c r="F108" s="20" t="s">
        <v>17</v>
      </c>
      <c r="G108" s="20" t="s">
        <v>18</v>
      </c>
      <c r="H108" s="20" t="s">
        <v>19</v>
      </c>
      <c r="I108" s="20" t="s">
        <v>20</v>
      </c>
      <c r="J108" s="20" t="s">
        <v>21</v>
      </c>
      <c r="K108" s="137" t="s">
        <v>22</v>
      </c>
      <c r="L108" s="21" t="s">
        <v>23</v>
      </c>
      <c r="M108" s="2"/>
      <c r="N108" s="2"/>
      <c r="O108" s="2"/>
      <c r="P108" s="2"/>
      <c r="Q108" s="2"/>
      <c r="R108" s="2"/>
      <c r="S108" s="2"/>
      <c r="T108" s="2"/>
      <c r="U108" s="2"/>
      <c r="V108" s="2"/>
      <c r="W108" s="2"/>
      <c r="X108" s="2"/>
      <c r="Y108" s="2"/>
      <c r="Z108" s="2"/>
      <c r="AA108" s="2"/>
      <c r="AB108" s="2"/>
      <c r="AC108" s="2"/>
      <c r="AD108" s="2"/>
      <c r="AE108" s="2"/>
      <c r="AF108" s="2"/>
      <c r="AG108" s="2"/>
      <c r="AH108" s="1"/>
      <c r="AI108" s="1"/>
      <c r="AJ108" s="1"/>
      <c r="AK108" s="1"/>
      <c r="AL108" s="1"/>
      <c r="AM108" s="1"/>
    </row>
    <row r="109" spans="1:39" ht="208.8" x14ac:dyDescent="0.3">
      <c r="A109"/>
      <c r="B109" s="34"/>
      <c r="C109" s="57" t="s">
        <v>180</v>
      </c>
      <c r="D109" s="44" t="s">
        <v>181</v>
      </c>
      <c r="E109" s="14" t="s">
        <v>182</v>
      </c>
      <c r="F109" s="71"/>
      <c r="G109" s="71">
        <v>1</v>
      </c>
      <c r="H109" s="71"/>
      <c r="I109" s="71"/>
      <c r="J109" s="71"/>
      <c r="K109" s="71">
        <v>1</v>
      </c>
      <c r="L109" s="178" t="s">
        <v>362</v>
      </c>
      <c r="M109" s="2"/>
      <c r="N109" s="2"/>
      <c r="O109" s="2"/>
      <c r="P109" s="2"/>
      <c r="Q109" s="2"/>
      <c r="R109" s="2"/>
      <c r="S109" s="2"/>
      <c r="T109" s="2"/>
      <c r="U109" s="2"/>
      <c r="V109" s="2"/>
      <c r="W109" s="2"/>
      <c r="X109" s="2"/>
      <c r="Y109" s="2"/>
      <c r="Z109" s="2"/>
      <c r="AA109" s="2"/>
      <c r="AB109" s="2"/>
      <c r="AC109" s="2"/>
      <c r="AD109" s="2"/>
      <c r="AE109" s="2"/>
      <c r="AF109" s="2"/>
      <c r="AG109" s="2"/>
      <c r="AH109" s="1"/>
      <c r="AI109" s="1"/>
      <c r="AJ109" s="1"/>
      <c r="AK109" s="1"/>
      <c r="AL109" s="1"/>
      <c r="AM109" s="1"/>
    </row>
    <row r="110" spans="1:39" ht="33.9" customHeight="1" x14ac:dyDescent="0.3">
      <c r="A110"/>
      <c r="B110" s="34"/>
      <c r="C110" s="57" t="s">
        <v>183</v>
      </c>
      <c r="D110" s="89" t="s">
        <v>184</v>
      </c>
      <c r="E110" s="90" t="s">
        <v>185</v>
      </c>
      <c r="F110" s="71"/>
      <c r="G110" s="71">
        <v>1</v>
      </c>
      <c r="H110" s="71"/>
      <c r="I110" s="71"/>
      <c r="J110" s="71"/>
      <c r="K110" s="71">
        <v>1</v>
      </c>
      <c r="L110" s="26" t="s">
        <v>372</v>
      </c>
      <c r="M110" s="2"/>
      <c r="N110" s="2"/>
      <c r="O110" s="2"/>
      <c r="P110" s="2"/>
      <c r="Q110" s="2"/>
      <c r="R110" s="2"/>
      <c r="S110" s="2"/>
      <c r="T110" s="2"/>
      <c r="U110" s="2"/>
      <c r="V110" s="2"/>
      <c r="W110" s="2"/>
      <c r="X110" s="2"/>
      <c r="Y110" s="2"/>
      <c r="Z110" s="2"/>
      <c r="AA110" s="2"/>
      <c r="AB110" s="2"/>
      <c r="AC110" s="2"/>
      <c r="AD110" s="2"/>
      <c r="AE110" s="2"/>
      <c r="AF110" s="2"/>
      <c r="AG110" s="2"/>
      <c r="AH110" s="1"/>
      <c r="AI110" s="1"/>
      <c r="AJ110" s="1"/>
      <c r="AK110" s="1"/>
      <c r="AL110" s="1"/>
      <c r="AM110" s="1"/>
    </row>
    <row r="111" spans="1:39" ht="21.9" customHeight="1" thickBot="1" x14ac:dyDescent="0.35">
      <c r="A111"/>
      <c r="B111" s="34"/>
      <c r="C111" s="27"/>
      <c r="D111" s="43"/>
      <c r="E111" s="28"/>
      <c r="F111" s="72"/>
      <c r="G111" s="72"/>
      <c r="H111" s="72"/>
      <c r="I111" s="72"/>
      <c r="J111" s="72"/>
      <c r="K111" s="72"/>
      <c r="L111" s="30"/>
      <c r="M111" s="2"/>
      <c r="N111" s="2"/>
      <c r="O111" s="2"/>
      <c r="P111" s="2"/>
      <c r="Q111" s="2"/>
      <c r="R111" s="2"/>
      <c r="S111" s="2"/>
      <c r="T111" s="2"/>
      <c r="U111" s="2"/>
      <c r="V111" s="2"/>
      <c r="W111" s="2"/>
      <c r="X111" s="2"/>
      <c r="Y111" s="2"/>
      <c r="Z111" s="2"/>
      <c r="AA111" s="2"/>
      <c r="AB111" s="2"/>
      <c r="AC111" s="2"/>
      <c r="AD111" s="2"/>
      <c r="AE111" s="2"/>
      <c r="AF111" s="2"/>
      <c r="AG111" s="2"/>
      <c r="AH111" s="1"/>
      <c r="AI111" s="1"/>
      <c r="AJ111" s="1"/>
      <c r="AK111" s="1"/>
      <c r="AL111" s="1"/>
      <c r="AM111" s="1"/>
    </row>
    <row r="112" spans="1:39" ht="20.100000000000001" customHeight="1" x14ac:dyDescent="0.3">
      <c r="A112"/>
      <c r="B112" s="8"/>
      <c r="C112" s="8"/>
      <c r="D112" s="38"/>
      <c r="E112" s="10"/>
      <c r="F112" s="70">
        <f t="shared" ref="F112:K112" si="6">SUM(F109:F111)</f>
        <v>0</v>
      </c>
      <c r="G112" s="70">
        <f t="shared" si="6"/>
        <v>2</v>
      </c>
      <c r="H112" s="70">
        <f t="shared" si="6"/>
        <v>0</v>
      </c>
      <c r="I112" s="70">
        <f t="shared" si="6"/>
        <v>0</v>
      </c>
      <c r="J112" s="70">
        <f t="shared" si="6"/>
        <v>0</v>
      </c>
      <c r="K112" s="70">
        <f t="shared" si="6"/>
        <v>2</v>
      </c>
      <c r="L112" s="2"/>
      <c r="M112" s="2"/>
      <c r="N112" s="2"/>
      <c r="O112" s="2"/>
      <c r="P112" s="2"/>
      <c r="Q112" s="2"/>
      <c r="R112" s="2"/>
      <c r="S112" s="2"/>
      <c r="T112" s="2"/>
      <c r="U112" s="2"/>
      <c r="V112" s="2"/>
      <c r="W112" s="2"/>
      <c r="X112" s="2"/>
      <c r="Y112" s="2"/>
      <c r="Z112" s="2"/>
      <c r="AA112" s="2"/>
      <c r="AB112" s="2"/>
      <c r="AC112" s="2"/>
      <c r="AD112" s="2"/>
      <c r="AE112" s="2"/>
      <c r="AF112" s="2"/>
      <c r="AG112" s="2"/>
      <c r="AH112" s="1"/>
      <c r="AI112" s="1"/>
      <c r="AJ112" s="1"/>
      <c r="AK112" s="1"/>
      <c r="AL112" s="1"/>
      <c r="AM112" s="1"/>
    </row>
    <row r="113" spans="1:39" ht="20.100000000000001" customHeight="1" thickBot="1" x14ac:dyDescent="0.35">
      <c r="A113"/>
      <c r="B113" s="52"/>
      <c r="C113" s="165" t="s">
        <v>186</v>
      </c>
      <c r="D113" s="165"/>
      <c r="E113" s="6"/>
      <c r="F113" s="70"/>
      <c r="G113" s="70"/>
      <c r="H113" s="70"/>
      <c r="I113" s="70"/>
      <c r="J113" s="70"/>
      <c r="K113" s="70"/>
      <c r="L113" s="11"/>
      <c r="M113" s="2"/>
      <c r="N113" s="2"/>
      <c r="O113" s="2"/>
      <c r="P113" s="2"/>
      <c r="Q113" s="2"/>
      <c r="R113" s="2"/>
      <c r="S113" s="2"/>
      <c r="T113" s="2"/>
      <c r="U113" s="2"/>
      <c r="V113" s="2"/>
      <c r="W113" s="2"/>
      <c r="X113" s="2"/>
      <c r="Y113" s="2"/>
      <c r="Z113" s="2"/>
      <c r="AA113" s="2"/>
      <c r="AB113" s="2"/>
      <c r="AC113" s="2"/>
      <c r="AD113" s="2"/>
      <c r="AE113" s="2"/>
      <c r="AF113" s="2"/>
      <c r="AG113" s="2"/>
      <c r="AH113" s="1"/>
      <c r="AI113" s="1"/>
      <c r="AJ113" s="1"/>
      <c r="AK113" s="1"/>
      <c r="AL113" s="1"/>
      <c r="AM113" s="1"/>
    </row>
    <row r="114" spans="1:39" ht="20.100000000000001" customHeight="1" x14ac:dyDescent="0.3">
      <c r="A114"/>
      <c r="B114" s="67"/>
      <c r="C114" s="18" t="s">
        <v>14</v>
      </c>
      <c r="D114" s="40" t="s">
        <v>15</v>
      </c>
      <c r="E114" s="19" t="s">
        <v>16</v>
      </c>
      <c r="F114" s="20" t="s">
        <v>17</v>
      </c>
      <c r="G114" s="20" t="s">
        <v>18</v>
      </c>
      <c r="H114" s="20" t="s">
        <v>19</v>
      </c>
      <c r="I114" s="20" t="s">
        <v>20</v>
      </c>
      <c r="J114" s="20" t="s">
        <v>21</v>
      </c>
      <c r="K114" s="137" t="s">
        <v>22</v>
      </c>
      <c r="L114" s="21" t="s">
        <v>23</v>
      </c>
      <c r="M114" s="2"/>
      <c r="N114" s="2"/>
      <c r="O114" s="2"/>
      <c r="P114" s="2"/>
      <c r="Q114" s="2"/>
      <c r="R114" s="2"/>
      <c r="S114" s="2"/>
      <c r="T114" s="2"/>
      <c r="U114" s="2"/>
      <c r="V114" s="2"/>
      <c r="W114" s="2"/>
      <c r="X114" s="2"/>
      <c r="Y114" s="2"/>
      <c r="Z114" s="2"/>
      <c r="AA114" s="2"/>
      <c r="AB114" s="2"/>
      <c r="AC114" s="2"/>
      <c r="AD114" s="2"/>
      <c r="AE114" s="2"/>
      <c r="AF114" s="2"/>
      <c r="AG114" s="2"/>
      <c r="AH114" s="1"/>
      <c r="AI114" s="1"/>
      <c r="AJ114" s="1"/>
      <c r="AK114" s="1"/>
      <c r="AL114" s="1"/>
      <c r="AM114" s="1"/>
    </row>
    <row r="115" spans="1:39" ht="208.8" x14ac:dyDescent="0.3">
      <c r="A115"/>
      <c r="B115" s="34"/>
      <c r="C115" s="57" t="s">
        <v>187</v>
      </c>
      <c r="D115" s="44" t="s">
        <v>188</v>
      </c>
      <c r="E115" s="14" t="s">
        <v>189</v>
      </c>
      <c r="F115" s="71" t="s">
        <v>4</v>
      </c>
      <c r="G115" s="71">
        <v>1</v>
      </c>
      <c r="H115" s="71"/>
      <c r="I115" s="71"/>
      <c r="J115" s="71"/>
      <c r="K115" s="71">
        <v>1</v>
      </c>
      <c r="L115" s="172" t="s">
        <v>362</v>
      </c>
      <c r="M115" s="2"/>
      <c r="N115" s="2"/>
      <c r="O115" s="2"/>
      <c r="P115" s="2"/>
      <c r="Q115" s="2"/>
      <c r="R115" s="2"/>
      <c r="S115" s="2"/>
      <c r="T115" s="2"/>
      <c r="U115" s="2"/>
      <c r="V115" s="2"/>
      <c r="W115" s="2"/>
      <c r="X115" s="2"/>
      <c r="Y115" s="2"/>
      <c r="Z115" s="2"/>
      <c r="AA115" s="2"/>
      <c r="AB115" s="2"/>
      <c r="AC115" s="2"/>
      <c r="AD115" s="2"/>
      <c r="AE115" s="2"/>
      <c r="AF115" s="2"/>
      <c r="AG115" s="2"/>
      <c r="AH115" s="1"/>
      <c r="AI115" s="1"/>
      <c r="AJ115" s="1"/>
      <c r="AK115" s="1"/>
      <c r="AL115" s="1"/>
      <c r="AM115" s="1"/>
    </row>
    <row r="116" spans="1:39" ht="21.9" customHeight="1" thickBot="1" x14ac:dyDescent="0.35">
      <c r="A116"/>
      <c r="B116" s="34"/>
      <c r="C116" s="27"/>
      <c r="D116" s="43"/>
      <c r="E116" s="28"/>
      <c r="F116" s="72"/>
      <c r="G116" s="72"/>
      <c r="H116" s="72"/>
      <c r="I116" s="72"/>
      <c r="J116" s="72"/>
      <c r="K116" s="72"/>
      <c r="L116" s="30"/>
      <c r="M116" s="2"/>
      <c r="N116" s="2"/>
      <c r="O116" s="2"/>
      <c r="P116" s="2"/>
      <c r="Q116" s="2"/>
      <c r="R116" s="2"/>
      <c r="S116" s="2"/>
      <c r="T116" s="2"/>
      <c r="U116" s="2"/>
      <c r="V116" s="2"/>
      <c r="W116" s="2"/>
      <c r="X116" s="2"/>
      <c r="Y116" s="2"/>
      <c r="Z116" s="2"/>
      <c r="AA116" s="2"/>
      <c r="AB116" s="2"/>
      <c r="AC116" s="2"/>
      <c r="AD116" s="2"/>
      <c r="AE116" s="2"/>
      <c r="AF116" s="2"/>
      <c r="AG116" s="2"/>
      <c r="AH116" s="1"/>
      <c r="AI116" s="1"/>
      <c r="AJ116" s="1"/>
      <c r="AK116" s="1"/>
      <c r="AL116" s="1"/>
      <c r="AM116" s="1"/>
    </row>
    <row r="117" spans="1:39" ht="20.100000000000001" customHeight="1" x14ac:dyDescent="0.3">
      <c r="A117"/>
      <c r="B117" s="8"/>
      <c r="C117" s="8"/>
      <c r="D117" s="38"/>
      <c r="E117" s="10"/>
      <c r="F117" s="70">
        <f t="shared" ref="F117:K117" si="7">SUM(F115:F116)</f>
        <v>0</v>
      </c>
      <c r="G117" s="70">
        <f t="shared" si="7"/>
        <v>1</v>
      </c>
      <c r="H117" s="70">
        <f t="shared" si="7"/>
        <v>0</v>
      </c>
      <c r="I117" s="70">
        <f t="shared" si="7"/>
        <v>0</v>
      </c>
      <c r="J117" s="70">
        <f t="shared" si="7"/>
        <v>0</v>
      </c>
      <c r="K117" s="70">
        <f t="shared" si="7"/>
        <v>1</v>
      </c>
      <c r="L117" s="2"/>
      <c r="M117" s="2"/>
      <c r="N117" s="2"/>
      <c r="O117" s="2"/>
      <c r="P117" s="2"/>
      <c r="Q117" s="2"/>
      <c r="R117" s="2"/>
      <c r="S117" s="2"/>
      <c r="T117" s="2"/>
      <c r="U117" s="2"/>
      <c r="V117" s="2"/>
      <c r="W117" s="2"/>
      <c r="X117" s="2"/>
      <c r="Y117" s="2"/>
      <c r="Z117" s="2"/>
      <c r="AA117" s="2"/>
      <c r="AB117" s="2"/>
      <c r="AC117" s="2"/>
      <c r="AD117" s="2"/>
      <c r="AE117" s="2"/>
      <c r="AF117" s="2"/>
      <c r="AG117" s="2"/>
      <c r="AH117" s="1"/>
      <c r="AI117" s="1"/>
      <c r="AJ117" s="1"/>
      <c r="AK117" s="1"/>
      <c r="AL117" s="1"/>
      <c r="AM117" s="1"/>
    </row>
    <row r="118" spans="1:39" ht="20.100000000000001" customHeight="1" thickBot="1" x14ac:dyDescent="0.35">
      <c r="A118"/>
      <c r="B118" s="52"/>
      <c r="C118" s="152" t="s">
        <v>190</v>
      </c>
      <c r="D118" s="53"/>
      <c r="E118" s="10"/>
      <c r="F118" s="70"/>
      <c r="G118" s="70"/>
      <c r="H118" s="70"/>
      <c r="I118" s="70"/>
      <c r="J118" s="70"/>
      <c r="K118" s="70"/>
      <c r="L118" s="55"/>
      <c r="M118" s="2"/>
      <c r="N118" s="2"/>
      <c r="O118" s="2"/>
      <c r="P118" s="2"/>
      <c r="Q118" s="2"/>
      <c r="R118" s="2"/>
      <c r="S118" s="2"/>
      <c r="T118" s="2"/>
      <c r="U118" s="2"/>
      <c r="V118" s="2"/>
      <c r="W118" s="2"/>
      <c r="X118" s="2"/>
      <c r="Y118" s="2"/>
      <c r="Z118" s="2"/>
      <c r="AA118" s="2"/>
      <c r="AB118" s="2"/>
      <c r="AC118" s="2"/>
      <c r="AD118" s="2"/>
      <c r="AE118" s="2"/>
      <c r="AF118" s="2"/>
      <c r="AG118" s="2"/>
      <c r="AH118" s="1"/>
      <c r="AI118" s="1"/>
      <c r="AJ118" s="1"/>
      <c r="AK118" s="1"/>
      <c r="AL118" s="1"/>
      <c r="AM118" s="1"/>
    </row>
    <row r="119" spans="1:39" ht="20.100000000000001" customHeight="1" x14ac:dyDescent="0.3">
      <c r="A119"/>
      <c r="B119" s="67"/>
      <c r="C119" s="18" t="s">
        <v>14</v>
      </c>
      <c r="D119" s="40" t="s">
        <v>15</v>
      </c>
      <c r="E119" s="19" t="s">
        <v>16</v>
      </c>
      <c r="F119" s="20" t="s">
        <v>17</v>
      </c>
      <c r="G119" s="20" t="s">
        <v>18</v>
      </c>
      <c r="H119" s="20" t="s">
        <v>19</v>
      </c>
      <c r="I119" s="20" t="s">
        <v>20</v>
      </c>
      <c r="J119" s="20" t="s">
        <v>21</v>
      </c>
      <c r="K119" s="137" t="s">
        <v>22</v>
      </c>
      <c r="L119" s="21" t="s">
        <v>23</v>
      </c>
      <c r="M119" s="2"/>
      <c r="N119" s="2"/>
      <c r="O119" s="2"/>
      <c r="P119" s="2"/>
      <c r="Q119" s="2"/>
      <c r="R119" s="2"/>
      <c r="S119" s="2"/>
      <c r="T119" s="2"/>
      <c r="U119" s="2"/>
      <c r="V119" s="2"/>
      <c r="W119" s="2"/>
      <c r="X119" s="2"/>
      <c r="Y119" s="2"/>
      <c r="Z119" s="2"/>
      <c r="AA119" s="2"/>
      <c r="AB119" s="2"/>
      <c r="AC119" s="2"/>
      <c r="AD119" s="2"/>
      <c r="AE119" s="2"/>
      <c r="AF119" s="2"/>
      <c r="AG119" s="2"/>
      <c r="AH119" s="1"/>
      <c r="AI119" s="1"/>
      <c r="AJ119" s="1"/>
      <c r="AK119" s="1"/>
      <c r="AL119" s="1"/>
      <c r="AM119" s="1"/>
    </row>
    <row r="120" spans="1:39" ht="208.8" x14ac:dyDescent="0.3">
      <c r="A120"/>
      <c r="B120" s="34"/>
      <c r="C120" s="59" t="s">
        <v>191</v>
      </c>
      <c r="D120" s="32" t="s">
        <v>192</v>
      </c>
      <c r="E120" s="14" t="s">
        <v>189</v>
      </c>
      <c r="F120" s="73"/>
      <c r="G120" s="73">
        <v>1</v>
      </c>
      <c r="H120" s="73"/>
      <c r="I120" s="73"/>
      <c r="J120" s="73"/>
      <c r="K120" s="73">
        <v>1</v>
      </c>
      <c r="L120" s="180" t="s">
        <v>362</v>
      </c>
      <c r="M120" s="2"/>
      <c r="N120" s="2"/>
      <c r="O120" s="2"/>
      <c r="P120" s="2"/>
      <c r="Q120" s="2"/>
      <c r="R120" s="2"/>
      <c r="S120" s="2"/>
      <c r="T120" s="2"/>
      <c r="U120" s="2"/>
      <c r="V120" s="2"/>
      <c r="W120" s="2"/>
      <c r="X120" s="2"/>
      <c r="Y120" s="2"/>
      <c r="Z120" s="2"/>
      <c r="AA120" s="2"/>
      <c r="AB120" s="2"/>
      <c r="AC120" s="2"/>
      <c r="AD120" s="2"/>
      <c r="AE120" s="2"/>
      <c r="AF120" s="2"/>
      <c r="AG120" s="2"/>
      <c r="AH120" s="1"/>
      <c r="AI120" s="1"/>
      <c r="AJ120" s="1"/>
      <c r="AK120" s="1"/>
      <c r="AL120" s="1"/>
      <c r="AM120" s="1"/>
    </row>
    <row r="121" spans="1:39" ht="21.9" customHeight="1" thickBot="1" x14ac:dyDescent="0.35">
      <c r="A121"/>
      <c r="B121" s="34"/>
      <c r="C121" s="23"/>
      <c r="D121" s="41"/>
      <c r="E121" s="31"/>
      <c r="F121" s="75"/>
      <c r="G121" s="75"/>
      <c r="H121" s="75"/>
      <c r="I121" s="75"/>
      <c r="J121" s="75"/>
      <c r="K121" s="75"/>
      <c r="L121" s="24"/>
      <c r="M121" s="2"/>
      <c r="N121" s="2"/>
      <c r="O121" s="2"/>
      <c r="P121" s="2"/>
      <c r="Q121" s="2"/>
      <c r="R121" s="2"/>
      <c r="S121" s="2"/>
      <c r="T121" s="2"/>
      <c r="U121" s="2"/>
      <c r="V121" s="2"/>
      <c r="W121" s="2"/>
      <c r="X121" s="2"/>
      <c r="Y121" s="2"/>
      <c r="Z121" s="2"/>
      <c r="AA121" s="2"/>
      <c r="AB121" s="2"/>
      <c r="AC121" s="2"/>
      <c r="AD121" s="2"/>
      <c r="AE121" s="2"/>
      <c r="AF121" s="2"/>
      <c r="AG121" s="2"/>
      <c r="AH121" s="1"/>
      <c r="AI121" s="1"/>
      <c r="AJ121" s="1"/>
      <c r="AK121" s="1"/>
      <c r="AL121" s="1"/>
      <c r="AM121" s="1"/>
    </row>
    <row r="122" spans="1:39" ht="20.100000000000001" customHeight="1" x14ac:dyDescent="0.3">
      <c r="A122"/>
      <c r="B122" s="34"/>
      <c r="C122" s="16"/>
      <c r="D122" s="45"/>
      <c r="E122" s="35"/>
      <c r="F122" s="70">
        <f t="shared" ref="F122:K122" si="8">SUM(F120:F121)</f>
        <v>0</v>
      </c>
      <c r="G122" s="70">
        <f t="shared" si="8"/>
        <v>1</v>
      </c>
      <c r="H122" s="70">
        <f t="shared" si="8"/>
        <v>0</v>
      </c>
      <c r="I122" s="70">
        <f t="shared" si="8"/>
        <v>0</v>
      </c>
      <c r="J122" s="70">
        <f t="shared" si="8"/>
        <v>0</v>
      </c>
      <c r="K122" s="70">
        <f t="shared" si="8"/>
        <v>1</v>
      </c>
      <c r="L122" s="2"/>
      <c r="M122" s="2"/>
      <c r="N122" s="2"/>
      <c r="O122" s="2"/>
      <c r="P122" s="2"/>
      <c r="Q122" s="2"/>
      <c r="R122" s="2"/>
      <c r="S122" s="2"/>
      <c r="T122" s="2"/>
      <c r="U122" s="2"/>
      <c r="V122" s="2"/>
      <c r="W122" s="2"/>
      <c r="X122" s="2"/>
      <c r="Y122" s="2"/>
      <c r="Z122" s="2"/>
      <c r="AA122" s="2"/>
      <c r="AB122" s="2"/>
      <c r="AC122" s="2"/>
      <c r="AD122" s="2"/>
      <c r="AE122" s="2"/>
      <c r="AF122" s="2"/>
      <c r="AG122" s="2"/>
      <c r="AH122" s="1"/>
      <c r="AI122" s="1"/>
      <c r="AJ122" s="1"/>
      <c r="AK122" s="1"/>
      <c r="AL122" s="1"/>
      <c r="AM122" s="1"/>
    </row>
    <row r="123" spans="1:39" ht="20.100000000000001" customHeight="1" thickBot="1" x14ac:dyDescent="0.35">
      <c r="A123"/>
      <c r="B123" s="52"/>
      <c r="C123" s="165" t="s">
        <v>193</v>
      </c>
      <c r="D123" s="165"/>
      <c r="E123" s="6"/>
      <c r="F123" s="70"/>
      <c r="G123" s="70"/>
      <c r="H123" s="70"/>
      <c r="I123" s="70"/>
      <c r="J123" s="70"/>
      <c r="K123" s="70"/>
      <c r="L123" s="11"/>
      <c r="M123" s="2"/>
      <c r="N123" s="2"/>
      <c r="O123" s="2"/>
      <c r="P123" s="2"/>
      <c r="Q123" s="2"/>
      <c r="R123" s="2"/>
      <c r="S123" s="2"/>
      <c r="T123" s="2"/>
      <c r="U123" s="2"/>
      <c r="V123" s="2"/>
      <c r="W123" s="2"/>
      <c r="X123" s="2"/>
      <c r="Y123" s="2"/>
      <c r="Z123" s="2"/>
      <c r="AA123" s="2"/>
      <c r="AB123" s="2"/>
      <c r="AC123" s="2"/>
      <c r="AD123" s="2"/>
      <c r="AE123" s="2"/>
      <c r="AF123" s="2"/>
      <c r="AG123" s="2"/>
      <c r="AH123" s="1"/>
      <c r="AI123" s="1"/>
      <c r="AJ123" s="1"/>
      <c r="AK123" s="1"/>
      <c r="AL123" s="1"/>
      <c r="AM123" s="1"/>
    </row>
    <row r="124" spans="1:39" ht="20.100000000000001" customHeight="1" x14ac:dyDescent="0.3">
      <c r="A124"/>
      <c r="B124" s="67"/>
      <c r="C124" s="18" t="s">
        <v>14</v>
      </c>
      <c r="D124" s="40" t="s">
        <v>15</v>
      </c>
      <c r="E124" s="19" t="s">
        <v>16</v>
      </c>
      <c r="F124" s="20" t="s">
        <v>17</v>
      </c>
      <c r="G124" s="20" t="s">
        <v>18</v>
      </c>
      <c r="H124" s="20" t="s">
        <v>19</v>
      </c>
      <c r="I124" s="20" t="s">
        <v>20</v>
      </c>
      <c r="J124" s="20" t="s">
        <v>21</v>
      </c>
      <c r="K124" s="137" t="s">
        <v>22</v>
      </c>
      <c r="L124" s="21" t="s">
        <v>23</v>
      </c>
      <c r="M124" s="2"/>
      <c r="N124" s="2"/>
      <c r="O124" s="2"/>
      <c r="P124" s="2"/>
      <c r="Q124" s="2"/>
      <c r="R124" s="2"/>
      <c r="S124" s="2"/>
      <c r="T124" s="2"/>
      <c r="U124" s="2"/>
      <c r="V124" s="2"/>
      <c r="W124" s="2"/>
      <c r="X124" s="2"/>
      <c r="Y124" s="2"/>
      <c r="Z124" s="2"/>
      <c r="AA124" s="2"/>
      <c r="AB124" s="2"/>
      <c r="AC124" s="2"/>
      <c r="AD124" s="2"/>
      <c r="AE124" s="2"/>
      <c r="AF124" s="2"/>
      <c r="AG124" s="2"/>
      <c r="AH124" s="1"/>
      <c r="AI124" s="1"/>
      <c r="AJ124" s="1"/>
      <c r="AK124" s="1"/>
      <c r="AL124" s="1"/>
      <c r="AM124" s="1"/>
    </row>
    <row r="125" spans="1:39" ht="208.8" x14ac:dyDescent="0.3">
      <c r="A125"/>
      <c r="B125" s="34"/>
      <c r="C125" s="59" t="s">
        <v>191</v>
      </c>
      <c r="D125" s="32" t="s">
        <v>192</v>
      </c>
      <c r="E125" s="90" t="s">
        <v>189</v>
      </c>
      <c r="F125" s="71"/>
      <c r="G125" s="71">
        <v>1</v>
      </c>
      <c r="H125" s="71"/>
      <c r="I125" s="71"/>
      <c r="J125" s="71"/>
      <c r="K125" s="71">
        <v>1</v>
      </c>
      <c r="L125" s="178" t="s">
        <v>362</v>
      </c>
      <c r="M125" s="2"/>
      <c r="N125" s="2"/>
      <c r="O125" s="2"/>
      <c r="P125" s="2"/>
      <c r="Q125" s="2"/>
      <c r="R125" s="2"/>
      <c r="S125" s="2"/>
      <c r="T125" s="2"/>
      <c r="U125" s="2"/>
      <c r="V125" s="2"/>
      <c r="W125" s="2"/>
      <c r="X125" s="2"/>
      <c r="Y125" s="2"/>
      <c r="Z125" s="2"/>
      <c r="AA125" s="2"/>
      <c r="AB125" s="2"/>
      <c r="AC125" s="2"/>
      <c r="AD125" s="2"/>
      <c r="AE125" s="2"/>
      <c r="AF125" s="2"/>
      <c r="AG125" s="2"/>
      <c r="AH125" s="1"/>
      <c r="AI125" s="1"/>
      <c r="AJ125" s="1"/>
      <c r="AK125" s="1"/>
      <c r="AL125" s="1"/>
      <c r="AM125" s="1"/>
    </row>
    <row r="126" spans="1:39" ht="33.9" customHeight="1" x14ac:dyDescent="0.3">
      <c r="A126"/>
      <c r="B126" s="34"/>
      <c r="C126" s="57" t="s">
        <v>88</v>
      </c>
      <c r="D126" s="89" t="s">
        <v>89</v>
      </c>
      <c r="E126" s="90" t="s">
        <v>90</v>
      </c>
      <c r="F126" s="71"/>
      <c r="G126" s="71">
        <v>1</v>
      </c>
      <c r="H126" s="71"/>
      <c r="I126" s="71"/>
      <c r="J126" s="71"/>
      <c r="K126" s="71">
        <v>1</v>
      </c>
      <c r="L126" s="26" t="s">
        <v>372</v>
      </c>
      <c r="M126" s="2"/>
      <c r="N126" s="2"/>
      <c r="O126" s="2"/>
      <c r="P126" s="2"/>
      <c r="Q126" s="2"/>
      <c r="R126" s="2"/>
      <c r="S126" s="2"/>
      <c r="T126" s="2"/>
      <c r="U126" s="2"/>
      <c r="V126" s="2"/>
      <c r="W126" s="2"/>
      <c r="X126" s="2"/>
      <c r="Y126" s="2"/>
      <c r="Z126" s="2"/>
      <c r="AA126" s="2"/>
      <c r="AB126" s="2"/>
      <c r="AC126" s="2"/>
      <c r="AD126" s="2"/>
      <c r="AE126" s="2"/>
      <c r="AF126" s="2"/>
      <c r="AG126" s="2"/>
      <c r="AH126" s="1"/>
      <c r="AI126" s="1"/>
      <c r="AJ126" s="1"/>
      <c r="AK126" s="1"/>
      <c r="AL126" s="1"/>
      <c r="AM126" s="1"/>
    </row>
    <row r="127" spans="1:39" ht="21.9" customHeight="1" thickBot="1" x14ac:dyDescent="0.35">
      <c r="A127"/>
      <c r="B127" s="34"/>
      <c r="C127" s="27"/>
      <c r="D127" s="43"/>
      <c r="E127" s="28"/>
      <c r="F127" s="72"/>
      <c r="G127" s="72"/>
      <c r="H127" s="72"/>
      <c r="I127" s="72"/>
      <c r="J127" s="72"/>
      <c r="K127" s="72"/>
      <c r="L127" s="30"/>
      <c r="M127" s="2"/>
      <c r="N127" s="2"/>
      <c r="O127" s="2"/>
      <c r="P127" s="2"/>
      <c r="Q127" s="2"/>
      <c r="R127" s="2"/>
      <c r="S127" s="2"/>
      <c r="T127" s="2"/>
      <c r="U127" s="2"/>
      <c r="V127" s="2"/>
      <c r="W127" s="2"/>
      <c r="X127" s="2"/>
      <c r="Y127" s="2"/>
      <c r="Z127" s="2"/>
      <c r="AA127" s="2"/>
      <c r="AB127" s="2"/>
      <c r="AC127" s="2"/>
      <c r="AD127" s="2"/>
      <c r="AE127" s="2"/>
      <c r="AF127" s="2"/>
      <c r="AG127" s="2"/>
      <c r="AH127" s="1"/>
      <c r="AI127" s="1"/>
      <c r="AJ127" s="1"/>
      <c r="AK127" s="1"/>
      <c r="AL127" s="1"/>
      <c r="AM127" s="1"/>
    </row>
    <row r="128" spans="1:39" ht="20.100000000000001" customHeight="1" x14ac:dyDescent="0.3">
      <c r="A128"/>
      <c r="B128" s="8"/>
      <c r="C128" s="8"/>
      <c r="D128" s="38"/>
      <c r="E128" s="10"/>
      <c r="F128" s="70">
        <f t="shared" ref="F128:K128" si="9">SUM(F125:F127)</f>
        <v>0</v>
      </c>
      <c r="G128" s="70">
        <f t="shared" si="9"/>
        <v>2</v>
      </c>
      <c r="H128" s="70">
        <f t="shared" si="9"/>
        <v>0</v>
      </c>
      <c r="I128" s="70">
        <f t="shared" si="9"/>
        <v>0</v>
      </c>
      <c r="J128" s="70">
        <f t="shared" si="9"/>
        <v>0</v>
      </c>
      <c r="K128" s="70">
        <f t="shared" si="9"/>
        <v>2</v>
      </c>
      <c r="L128" s="2"/>
      <c r="M128" s="2"/>
      <c r="N128" s="2"/>
      <c r="O128" s="2"/>
      <c r="P128" s="2"/>
      <c r="Q128" s="2"/>
      <c r="R128" s="2"/>
      <c r="S128" s="2"/>
      <c r="T128" s="2"/>
      <c r="U128" s="2"/>
      <c r="V128" s="2"/>
      <c r="W128" s="2"/>
      <c r="X128" s="2"/>
      <c r="Y128" s="2"/>
      <c r="Z128" s="2"/>
      <c r="AA128" s="2"/>
      <c r="AB128" s="2"/>
      <c r="AC128" s="2"/>
      <c r="AD128" s="2"/>
      <c r="AE128" s="2"/>
      <c r="AF128" s="2"/>
      <c r="AG128" s="2"/>
      <c r="AH128" s="1"/>
      <c r="AI128" s="1"/>
      <c r="AJ128" s="1"/>
      <c r="AK128" s="1"/>
      <c r="AL128" s="1"/>
      <c r="AM128" s="1"/>
    </row>
    <row r="129" spans="1:39" ht="20.100000000000001" customHeight="1" thickBot="1" x14ac:dyDescent="0.35">
      <c r="A129"/>
      <c r="B129" s="52"/>
      <c r="C129" s="151" t="s">
        <v>194</v>
      </c>
      <c r="D129" s="53"/>
      <c r="E129" s="54"/>
      <c r="F129" s="78"/>
      <c r="G129" s="78"/>
      <c r="H129" s="78"/>
      <c r="I129" s="78"/>
      <c r="J129" s="78"/>
      <c r="K129" s="78"/>
      <c r="L129" s="1"/>
      <c r="M129" s="2"/>
      <c r="N129" s="2"/>
      <c r="O129" s="2"/>
      <c r="P129" s="2"/>
      <c r="Q129" s="2"/>
      <c r="R129" s="2"/>
      <c r="S129" s="2"/>
      <c r="T129" s="2"/>
      <c r="U129" s="2"/>
      <c r="V129" s="2"/>
      <c r="W129" s="2"/>
      <c r="X129" s="2"/>
      <c r="Y129" s="2"/>
      <c r="Z129" s="2"/>
      <c r="AA129" s="2"/>
      <c r="AB129" s="2"/>
      <c r="AC129" s="2"/>
      <c r="AD129" s="2"/>
      <c r="AE129" s="2"/>
      <c r="AF129" s="2"/>
      <c r="AG129" s="2"/>
      <c r="AH129" s="1"/>
      <c r="AI129" s="1"/>
      <c r="AJ129" s="1"/>
      <c r="AK129" s="1"/>
      <c r="AL129" s="1"/>
      <c r="AM129" s="1"/>
    </row>
    <row r="130" spans="1:39" ht="20.100000000000001" customHeight="1" x14ac:dyDescent="0.3">
      <c r="A130"/>
      <c r="B130" s="67"/>
      <c r="C130" s="18" t="s">
        <v>14</v>
      </c>
      <c r="D130" s="40" t="s">
        <v>15</v>
      </c>
      <c r="E130" s="19" t="s">
        <v>16</v>
      </c>
      <c r="F130" s="20" t="s">
        <v>17</v>
      </c>
      <c r="G130" s="20" t="s">
        <v>18</v>
      </c>
      <c r="H130" s="20" t="s">
        <v>19</v>
      </c>
      <c r="I130" s="20" t="s">
        <v>20</v>
      </c>
      <c r="J130" s="20" t="s">
        <v>21</v>
      </c>
      <c r="K130" s="137" t="s">
        <v>22</v>
      </c>
      <c r="L130" s="21" t="s">
        <v>23</v>
      </c>
      <c r="M130" s="2"/>
      <c r="N130" s="2"/>
      <c r="O130" s="2"/>
      <c r="P130" s="2"/>
      <c r="Q130" s="2"/>
      <c r="R130" s="2"/>
      <c r="S130" s="2"/>
      <c r="T130" s="2"/>
      <c r="U130" s="2"/>
      <c r="V130" s="2"/>
      <c r="W130" s="2"/>
      <c r="X130" s="2"/>
      <c r="Y130" s="2"/>
      <c r="Z130" s="2"/>
      <c r="AA130" s="2"/>
      <c r="AB130" s="2"/>
      <c r="AC130" s="2"/>
      <c r="AD130" s="2"/>
      <c r="AE130" s="2"/>
      <c r="AF130" s="2"/>
      <c r="AG130" s="2"/>
      <c r="AH130" s="1"/>
      <c r="AI130" s="1"/>
      <c r="AJ130" s="1"/>
      <c r="AK130" s="1"/>
      <c r="AL130" s="1"/>
      <c r="AM130" s="1"/>
    </row>
    <row r="131" spans="1:39" ht="208.8" x14ac:dyDescent="0.3">
      <c r="A131"/>
      <c r="B131" s="34"/>
      <c r="C131" s="59" t="s">
        <v>195</v>
      </c>
      <c r="D131" s="32" t="s">
        <v>196</v>
      </c>
      <c r="E131" s="32" t="s">
        <v>197</v>
      </c>
      <c r="F131" s="73"/>
      <c r="G131" s="73">
        <v>1</v>
      </c>
      <c r="H131" s="73"/>
      <c r="I131" s="73"/>
      <c r="J131" s="73"/>
      <c r="K131" s="73">
        <v>1</v>
      </c>
      <c r="L131" s="180" t="s">
        <v>362</v>
      </c>
      <c r="M131" s="2"/>
      <c r="N131" s="2"/>
      <c r="O131" s="2"/>
      <c r="P131" s="2"/>
      <c r="Q131" s="2"/>
      <c r="R131" s="2"/>
      <c r="S131" s="2"/>
      <c r="T131" s="2"/>
      <c r="U131" s="2"/>
      <c r="V131" s="2"/>
      <c r="W131" s="2"/>
      <c r="X131" s="2"/>
      <c r="Y131" s="2"/>
      <c r="Z131" s="2"/>
      <c r="AA131" s="2"/>
      <c r="AB131" s="2"/>
      <c r="AC131" s="2"/>
      <c r="AD131" s="2"/>
      <c r="AE131" s="2"/>
      <c r="AF131" s="2"/>
      <c r="AG131" s="2"/>
      <c r="AH131" s="1"/>
      <c r="AI131" s="1"/>
      <c r="AJ131" s="1"/>
      <c r="AK131" s="1"/>
      <c r="AL131" s="1"/>
      <c r="AM131" s="1"/>
    </row>
    <row r="132" spans="1:39" ht="33.9" customHeight="1" x14ac:dyDescent="0.3">
      <c r="A132"/>
      <c r="B132" s="34"/>
      <c r="C132" s="63" t="s">
        <v>198</v>
      </c>
      <c r="D132" s="61" t="s">
        <v>199</v>
      </c>
      <c r="E132" s="32" t="s">
        <v>200</v>
      </c>
      <c r="F132" s="74"/>
      <c r="G132" s="74">
        <v>1</v>
      </c>
      <c r="H132" s="74"/>
      <c r="I132" s="74"/>
      <c r="J132" s="74"/>
      <c r="K132" s="74">
        <v>1</v>
      </c>
      <c r="L132" s="62" t="s">
        <v>366</v>
      </c>
      <c r="M132" s="2"/>
      <c r="N132" s="2"/>
      <c r="O132" s="2"/>
      <c r="P132" s="2"/>
      <c r="Q132" s="2"/>
      <c r="R132" s="2"/>
      <c r="S132" s="2"/>
      <c r="T132" s="2"/>
      <c r="U132" s="2"/>
      <c r="V132" s="2"/>
      <c r="W132" s="2"/>
      <c r="X132" s="2"/>
      <c r="Y132" s="2"/>
      <c r="Z132" s="2"/>
      <c r="AA132" s="2"/>
      <c r="AB132" s="2"/>
      <c r="AC132" s="2"/>
      <c r="AD132" s="2"/>
      <c r="AE132" s="2"/>
      <c r="AF132" s="2"/>
      <c r="AG132" s="2"/>
      <c r="AH132" s="1"/>
      <c r="AI132" s="1"/>
      <c r="AJ132" s="1"/>
      <c r="AK132" s="1"/>
      <c r="AL132" s="1"/>
      <c r="AM132" s="1"/>
    </row>
    <row r="133" spans="1:39" ht="33.9" customHeight="1" x14ac:dyDescent="0.3">
      <c r="A133"/>
      <c r="B133" s="34"/>
      <c r="C133" s="63" t="s">
        <v>201</v>
      </c>
      <c r="D133" s="61" t="s">
        <v>202</v>
      </c>
      <c r="E133" s="32" t="s">
        <v>203</v>
      </c>
      <c r="F133" s="74"/>
      <c r="G133" s="74">
        <v>1</v>
      </c>
      <c r="H133" s="74"/>
      <c r="I133" s="74"/>
      <c r="J133" s="74"/>
      <c r="K133" s="74">
        <v>1</v>
      </c>
      <c r="L133" s="62" t="s">
        <v>366</v>
      </c>
      <c r="M133" s="2"/>
      <c r="N133" s="2"/>
      <c r="O133" s="2"/>
      <c r="P133" s="2"/>
      <c r="Q133" s="2"/>
      <c r="R133" s="2"/>
      <c r="S133" s="2"/>
      <c r="T133" s="2"/>
      <c r="U133" s="2"/>
      <c r="V133" s="2"/>
      <c r="W133" s="2"/>
      <c r="X133" s="2"/>
      <c r="Y133" s="2"/>
      <c r="Z133" s="2"/>
      <c r="AA133" s="2"/>
      <c r="AB133" s="2"/>
      <c r="AC133" s="2"/>
      <c r="AD133" s="2"/>
      <c r="AE133" s="2"/>
      <c r="AF133" s="2"/>
      <c r="AG133" s="2"/>
      <c r="AH133" s="1"/>
      <c r="AI133" s="1"/>
      <c r="AJ133" s="1"/>
      <c r="AK133" s="1"/>
      <c r="AL133" s="1"/>
      <c r="AM133" s="1"/>
    </row>
    <row r="134" spans="1:39" ht="33.9" customHeight="1" x14ac:dyDescent="0.3">
      <c r="A134"/>
      <c r="B134" s="34"/>
      <c r="C134" s="63" t="s">
        <v>204</v>
      </c>
      <c r="D134" s="61" t="s">
        <v>205</v>
      </c>
      <c r="E134" s="32" t="s">
        <v>206</v>
      </c>
      <c r="F134" s="74"/>
      <c r="G134" s="74">
        <v>1</v>
      </c>
      <c r="H134" s="74"/>
      <c r="I134" s="74"/>
      <c r="J134" s="74"/>
      <c r="K134" s="74">
        <v>1</v>
      </c>
      <c r="L134" s="62" t="s">
        <v>366</v>
      </c>
      <c r="M134" s="2"/>
      <c r="N134" s="2"/>
      <c r="O134" s="2"/>
      <c r="P134" s="2"/>
      <c r="Q134" s="2"/>
      <c r="R134" s="2"/>
      <c r="S134" s="2"/>
      <c r="T134" s="2"/>
      <c r="U134" s="2"/>
      <c r="V134" s="2"/>
      <c r="W134" s="2"/>
      <c r="X134" s="2"/>
      <c r="Y134" s="2"/>
      <c r="Z134" s="2"/>
      <c r="AA134" s="2"/>
      <c r="AB134" s="2"/>
      <c r="AC134" s="2"/>
      <c r="AD134" s="2"/>
      <c r="AE134" s="2"/>
      <c r="AF134" s="2"/>
      <c r="AG134" s="2"/>
      <c r="AH134" s="1"/>
      <c r="AI134" s="1"/>
      <c r="AJ134" s="1"/>
      <c r="AK134" s="1"/>
      <c r="AL134" s="1"/>
      <c r="AM134" s="1"/>
    </row>
    <row r="135" spans="1:39" ht="33.9" customHeight="1" x14ac:dyDescent="0.3">
      <c r="A135"/>
      <c r="B135" s="34"/>
      <c r="C135" s="63" t="s">
        <v>207</v>
      </c>
      <c r="D135" s="61" t="s">
        <v>205</v>
      </c>
      <c r="E135" s="32" t="s">
        <v>206</v>
      </c>
      <c r="F135" s="74"/>
      <c r="G135" s="74">
        <v>1</v>
      </c>
      <c r="H135" s="74"/>
      <c r="I135" s="74"/>
      <c r="J135" s="74"/>
      <c r="K135" s="74">
        <v>1</v>
      </c>
      <c r="L135" s="62" t="s">
        <v>366</v>
      </c>
      <c r="M135" s="2"/>
      <c r="N135" s="2"/>
      <c r="O135" s="2"/>
      <c r="P135" s="2"/>
      <c r="Q135" s="2"/>
      <c r="R135" s="2"/>
      <c r="S135" s="2"/>
      <c r="T135" s="2"/>
      <c r="U135" s="2"/>
      <c r="V135" s="2"/>
      <c r="W135" s="2"/>
      <c r="X135" s="2"/>
      <c r="Y135" s="2"/>
      <c r="Z135" s="2"/>
      <c r="AA135" s="2"/>
      <c r="AB135" s="2"/>
      <c r="AC135" s="2"/>
      <c r="AD135" s="2"/>
      <c r="AE135" s="2"/>
      <c r="AF135" s="2"/>
      <c r="AG135" s="2"/>
      <c r="AH135" s="1"/>
      <c r="AI135" s="1"/>
      <c r="AJ135" s="1"/>
      <c r="AK135" s="1"/>
      <c r="AL135" s="1"/>
      <c r="AM135" s="1"/>
    </row>
    <row r="136" spans="1:39" ht="33.9" customHeight="1" x14ac:dyDescent="0.3">
      <c r="A136"/>
      <c r="B136" s="34"/>
      <c r="C136" s="63" t="s">
        <v>208</v>
      </c>
      <c r="D136" s="61" t="s">
        <v>205</v>
      </c>
      <c r="E136" s="32" t="s">
        <v>206</v>
      </c>
      <c r="F136" s="74"/>
      <c r="G136" s="74">
        <v>1</v>
      </c>
      <c r="H136" s="74"/>
      <c r="I136" s="74"/>
      <c r="J136" s="74"/>
      <c r="K136" s="74">
        <v>1</v>
      </c>
      <c r="L136" s="62" t="s">
        <v>366</v>
      </c>
      <c r="M136" s="2"/>
      <c r="N136" s="2"/>
      <c r="O136" s="2"/>
      <c r="P136" s="2"/>
      <c r="Q136" s="2"/>
      <c r="R136" s="2"/>
      <c r="S136" s="2"/>
      <c r="T136" s="2"/>
      <c r="U136" s="2"/>
      <c r="V136" s="2"/>
      <c r="W136" s="2"/>
      <c r="X136" s="2"/>
      <c r="Y136" s="2"/>
      <c r="Z136" s="2"/>
      <c r="AA136" s="2"/>
      <c r="AB136" s="2"/>
      <c r="AC136" s="2"/>
      <c r="AD136" s="2"/>
      <c r="AE136" s="2"/>
      <c r="AF136" s="2"/>
      <c r="AG136" s="2"/>
      <c r="AH136" s="1"/>
      <c r="AI136" s="1"/>
      <c r="AJ136" s="1"/>
      <c r="AK136" s="1"/>
      <c r="AL136" s="1"/>
      <c r="AM136" s="1"/>
    </row>
    <row r="137" spans="1:39" ht="18.899999999999999" customHeight="1" x14ac:dyDescent="0.3">
      <c r="A137"/>
      <c r="B137" s="34"/>
      <c r="C137" s="63" t="s">
        <v>209</v>
      </c>
      <c r="D137" s="61" t="s">
        <v>210</v>
      </c>
      <c r="E137" s="61" t="s">
        <v>211</v>
      </c>
      <c r="F137" s="74"/>
      <c r="G137" s="74">
        <v>1</v>
      </c>
      <c r="H137" s="74"/>
      <c r="I137" s="74"/>
      <c r="J137" s="74"/>
      <c r="K137" s="74">
        <v>1</v>
      </c>
      <c r="L137" s="62" t="s">
        <v>366</v>
      </c>
      <c r="M137" s="2"/>
      <c r="N137" s="2"/>
      <c r="O137" s="2"/>
      <c r="P137" s="2"/>
      <c r="Q137" s="2"/>
      <c r="R137" s="2"/>
      <c r="S137" s="2"/>
      <c r="T137" s="2"/>
      <c r="U137" s="2"/>
      <c r="V137" s="2"/>
      <c r="W137" s="2"/>
      <c r="X137" s="2"/>
      <c r="Y137" s="2"/>
      <c r="Z137" s="2"/>
      <c r="AA137" s="2"/>
      <c r="AB137" s="2"/>
      <c r="AC137" s="2"/>
      <c r="AD137" s="2"/>
      <c r="AE137" s="2"/>
      <c r="AF137" s="2"/>
      <c r="AG137" s="2"/>
      <c r="AH137" s="1"/>
      <c r="AI137" s="1"/>
      <c r="AJ137" s="1"/>
      <c r="AK137" s="1"/>
      <c r="AL137" s="1"/>
      <c r="AM137" s="1"/>
    </row>
    <row r="138" spans="1:39" ht="33.9" customHeight="1" x14ac:dyDescent="0.3">
      <c r="A138"/>
      <c r="B138" s="34"/>
      <c r="C138" s="63" t="s">
        <v>212</v>
      </c>
      <c r="D138" s="61" t="s">
        <v>213</v>
      </c>
      <c r="E138" s="32" t="s">
        <v>214</v>
      </c>
      <c r="F138" s="74"/>
      <c r="G138" s="74">
        <v>1</v>
      </c>
      <c r="H138" s="74"/>
      <c r="I138" s="74"/>
      <c r="J138" s="74"/>
      <c r="K138" s="74">
        <v>1</v>
      </c>
      <c r="L138" s="62" t="s">
        <v>366</v>
      </c>
      <c r="M138" s="2"/>
      <c r="N138" s="2"/>
      <c r="O138" s="2"/>
      <c r="P138" s="2"/>
      <c r="Q138" s="2"/>
      <c r="R138" s="2"/>
      <c r="S138" s="2"/>
      <c r="T138" s="2"/>
      <c r="U138" s="2"/>
      <c r="V138" s="2"/>
      <c r="W138" s="2"/>
      <c r="X138" s="2"/>
      <c r="Y138" s="2"/>
      <c r="Z138" s="2"/>
      <c r="AA138" s="2"/>
      <c r="AB138" s="2"/>
      <c r="AC138" s="2"/>
      <c r="AD138" s="2"/>
      <c r="AE138" s="2"/>
      <c r="AF138" s="2"/>
      <c r="AG138" s="2"/>
      <c r="AH138" s="1"/>
      <c r="AI138" s="1"/>
      <c r="AJ138" s="1"/>
      <c r="AK138" s="1"/>
      <c r="AL138" s="1"/>
      <c r="AM138" s="1"/>
    </row>
    <row r="139" spans="1:39" ht="33.9" customHeight="1" x14ac:dyDescent="0.3">
      <c r="A139"/>
      <c r="B139" s="34"/>
      <c r="C139" s="63" t="s">
        <v>215</v>
      </c>
      <c r="D139" s="61" t="s">
        <v>216</v>
      </c>
      <c r="E139" s="32" t="s">
        <v>203</v>
      </c>
      <c r="F139" s="74"/>
      <c r="G139" s="74">
        <v>1</v>
      </c>
      <c r="H139" s="74"/>
      <c r="I139" s="74"/>
      <c r="J139" s="74"/>
      <c r="K139" s="74">
        <v>1</v>
      </c>
      <c r="L139" s="62" t="s">
        <v>366</v>
      </c>
      <c r="M139" s="2"/>
      <c r="N139" s="2"/>
      <c r="O139" s="2"/>
      <c r="P139" s="2"/>
      <c r="Q139" s="2"/>
      <c r="R139" s="2"/>
      <c r="S139" s="2"/>
      <c r="T139" s="2"/>
      <c r="U139" s="2"/>
      <c r="V139" s="2"/>
      <c r="W139" s="2"/>
      <c r="X139" s="2"/>
      <c r="Y139" s="2"/>
      <c r="Z139" s="2"/>
      <c r="AA139" s="2"/>
      <c r="AB139" s="2"/>
      <c r="AC139" s="2"/>
      <c r="AD139" s="2"/>
      <c r="AE139" s="2"/>
      <c r="AF139" s="2"/>
      <c r="AG139" s="2"/>
      <c r="AH139" s="1"/>
      <c r="AI139" s="1"/>
      <c r="AJ139" s="1"/>
      <c r="AK139" s="1"/>
      <c r="AL139" s="1"/>
      <c r="AM139" s="1"/>
    </row>
    <row r="140" spans="1:39" ht="18.899999999999999" customHeight="1" x14ac:dyDescent="0.3">
      <c r="A140"/>
      <c r="B140" s="34"/>
      <c r="C140" s="63" t="s">
        <v>217</v>
      </c>
      <c r="D140" s="61" t="s">
        <v>218</v>
      </c>
      <c r="E140" s="32" t="s">
        <v>219</v>
      </c>
      <c r="F140" s="74"/>
      <c r="G140" s="74">
        <v>1</v>
      </c>
      <c r="H140" s="74"/>
      <c r="I140" s="74"/>
      <c r="J140" s="74"/>
      <c r="K140" s="74">
        <v>1</v>
      </c>
      <c r="L140" s="62" t="s">
        <v>366</v>
      </c>
      <c r="M140" s="2"/>
      <c r="N140" s="2"/>
      <c r="O140" s="2"/>
      <c r="P140" s="2"/>
      <c r="Q140" s="2"/>
      <c r="R140" s="2"/>
      <c r="S140" s="2"/>
      <c r="T140" s="2"/>
      <c r="U140" s="2"/>
      <c r="V140" s="2"/>
      <c r="W140" s="2"/>
      <c r="X140" s="2"/>
      <c r="Y140" s="2"/>
      <c r="Z140" s="2"/>
      <c r="AA140" s="2"/>
      <c r="AB140" s="2"/>
      <c r="AC140" s="2"/>
      <c r="AD140" s="2"/>
      <c r="AE140" s="2"/>
      <c r="AF140" s="2"/>
      <c r="AG140" s="2"/>
      <c r="AH140" s="1"/>
      <c r="AI140" s="1"/>
      <c r="AJ140" s="1"/>
      <c r="AK140" s="1"/>
      <c r="AL140" s="1"/>
      <c r="AM140" s="1"/>
    </row>
    <row r="141" spans="1:39" ht="18.899999999999999" customHeight="1" x14ac:dyDescent="0.3">
      <c r="A141"/>
      <c r="B141" s="34"/>
      <c r="C141" s="63" t="s">
        <v>220</v>
      </c>
      <c r="D141" s="61" t="s">
        <v>221</v>
      </c>
      <c r="E141" s="32" t="s">
        <v>222</v>
      </c>
      <c r="F141" s="74"/>
      <c r="G141" s="74">
        <v>1</v>
      </c>
      <c r="H141" s="74"/>
      <c r="I141" s="74"/>
      <c r="J141" s="74"/>
      <c r="K141" s="74">
        <v>1</v>
      </c>
      <c r="L141" s="62" t="s">
        <v>366</v>
      </c>
      <c r="M141" s="2"/>
      <c r="N141" s="2"/>
      <c r="O141" s="2"/>
      <c r="P141" s="2"/>
      <c r="Q141" s="2"/>
      <c r="R141" s="2"/>
      <c r="S141" s="2"/>
      <c r="T141" s="2"/>
      <c r="U141" s="2"/>
      <c r="V141" s="2"/>
      <c r="W141" s="2"/>
      <c r="X141" s="2"/>
      <c r="Y141" s="2"/>
      <c r="Z141" s="2"/>
      <c r="AA141" s="2"/>
      <c r="AB141" s="2"/>
      <c r="AC141" s="2"/>
      <c r="AD141" s="2"/>
      <c r="AE141" s="2"/>
      <c r="AF141" s="2"/>
      <c r="AG141" s="2"/>
      <c r="AH141" s="1"/>
      <c r="AI141" s="1"/>
      <c r="AJ141" s="1"/>
      <c r="AK141" s="1"/>
      <c r="AL141" s="1"/>
      <c r="AM141" s="1"/>
    </row>
    <row r="142" spans="1:39" ht="18.899999999999999" customHeight="1" x14ac:dyDescent="0.3">
      <c r="A142"/>
      <c r="B142" s="34"/>
      <c r="C142" s="63" t="s">
        <v>223</v>
      </c>
      <c r="D142" s="61" t="s">
        <v>224</v>
      </c>
      <c r="E142" s="32" t="s">
        <v>225</v>
      </c>
      <c r="F142" s="74"/>
      <c r="G142" s="74">
        <v>1</v>
      </c>
      <c r="H142" s="74"/>
      <c r="I142" s="74"/>
      <c r="J142" s="74"/>
      <c r="K142" s="74">
        <v>1</v>
      </c>
      <c r="L142" s="62" t="s">
        <v>366</v>
      </c>
      <c r="M142" s="2"/>
      <c r="N142" s="2"/>
      <c r="O142" s="2"/>
      <c r="P142" s="2"/>
      <c r="Q142" s="2"/>
      <c r="R142" s="2"/>
      <c r="S142" s="2"/>
      <c r="T142" s="2"/>
      <c r="U142" s="2"/>
      <c r="V142" s="2"/>
      <c r="W142" s="2"/>
      <c r="X142" s="2"/>
      <c r="Y142" s="2"/>
      <c r="Z142" s="2"/>
      <c r="AA142" s="2"/>
      <c r="AB142" s="2"/>
      <c r="AC142" s="2"/>
      <c r="AD142" s="2"/>
      <c r="AE142" s="2"/>
      <c r="AF142" s="2"/>
      <c r="AG142" s="2"/>
      <c r="AH142" s="1"/>
      <c r="AI142" s="1"/>
      <c r="AJ142" s="1"/>
      <c r="AK142" s="1"/>
      <c r="AL142" s="1"/>
      <c r="AM142" s="1"/>
    </row>
    <row r="143" spans="1:39" ht="33.9" customHeight="1" thickBot="1" x14ac:dyDescent="0.35">
      <c r="A143"/>
      <c r="B143" s="34"/>
      <c r="C143" s="65" t="s">
        <v>91</v>
      </c>
      <c r="D143" s="50" t="s">
        <v>92</v>
      </c>
      <c r="E143" s="50" t="s">
        <v>93</v>
      </c>
      <c r="F143" s="79"/>
      <c r="G143" s="79">
        <v>1</v>
      </c>
      <c r="H143" s="79"/>
      <c r="I143" s="79"/>
      <c r="J143" s="79"/>
      <c r="K143" s="79">
        <v>1</v>
      </c>
      <c r="L143" s="62" t="s">
        <v>366</v>
      </c>
      <c r="M143" s="2"/>
      <c r="N143" s="2"/>
      <c r="O143" s="2"/>
      <c r="P143" s="2"/>
      <c r="Q143" s="2"/>
      <c r="R143" s="2"/>
      <c r="S143" s="2"/>
      <c r="T143" s="2"/>
      <c r="U143" s="2"/>
      <c r="V143" s="2"/>
      <c r="W143" s="2"/>
      <c r="X143" s="2"/>
      <c r="Y143" s="2"/>
      <c r="Z143" s="2"/>
      <c r="AA143" s="2"/>
      <c r="AB143" s="2"/>
      <c r="AC143" s="2"/>
      <c r="AD143" s="2"/>
      <c r="AE143" s="2"/>
      <c r="AF143" s="2"/>
      <c r="AG143" s="2"/>
      <c r="AH143" s="1"/>
      <c r="AI143" s="1"/>
      <c r="AJ143" s="1"/>
      <c r="AK143" s="1"/>
      <c r="AL143" s="1"/>
      <c r="AM143" s="1"/>
    </row>
    <row r="144" spans="1:39" ht="38.25" customHeight="1" x14ac:dyDescent="0.3">
      <c r="A144"/>
      <c r="B144" s="34"/>
      <c r="C144" s="112"/>
      <c r="D144" s="112"/>
      <c r="E144" s="112"/>
      <c r="F144" s="113">
        <f t="shared" ref="F144:K144" si="10">SUM(F131:F143)</f>
        <v>0</v>
      </c>
      <c r="G144" s="113">
        <f t="shared" si="10"/>
        <v>13</v>
      </c>
      <c r="H144" s="113">
        <f t="shared" si="10"/>
        <v>0</v>
      </c>
      <c r="I144" s="113">
        <f t="shared" si="10"/>
        <v>0</v>
      </c>
      <c r="J144" s="113">
        <f t="shared" si="10"/>
        <v>0</v>
      </c>
      <c r="K144" s="113">
        <f t="shared" si="10"/>
        <v>13</v>
      </c>
      <c r="L144" s="55"/>
      <c r="M144" s="2"/>
      <c r="N144" s="2"/>
      <c r="O144" s="2"/>
      <c r="P144" s="2"/>
      <c r="Q144" s="2"/>
      <c r="R144" s="2"/>
      <c r="S144" s="2"/>
      <c r="T144" s="2"/>
      <c r="U144" s="2"/>
      <c r="V144" s="2"/>
      <c r="W144" s="2"/>
      <c r="X144" s="2"/>
      <c r="Y144" s="2"/>
      <c r="Z144" s="2"/>
      <c r="AA144" s="2"/>
      <c r="AB144" s="2"/>
      <c r="AC144" s="2"/>
      <c r="AD144" s="2"/>
      <c r="AE144" s="2"/>
      <c r="AF144" s="2"/>
      <c r="AG144" s="2"/>
      <c r="AH144" s="1"/>
      <c r="AI144" s="1"/>
      <c r="AJ144" s="1"/>
      <c r="AK144" s="1"/>
      <c r="AL144" s="1"/>
      <c r="AM144" s="1"/>
    </row>
    <row r="145" spans="1:39" ht="20.100000000000001" customHeight="1" thickBot="1" x14ac:dyDescent="0.35">
      <c r="A145"/>
      <c r="B145" s="52"/>
      <c r="C145" s="152" t="s">
        <v>226</v>
      </c>
      <c r="D145" s="53"/>
      <c r="E145" s="35"/>
      <c r="F145" s="70"/>
      <c r="G145" s="70"/>
      <c r="H145" s="70"/>
      <c r="I145" s="70"/>
      <c r="J145" s="70"/>
      <c r="K145" s="70"/>
      <c r="L145" s="2"/>
      <c r="M145" s="2"/>
      <c r="N145" s="2"/>
      <c r="O145" s="2"/>
      <c r="P145" s="2"/>
      <c r="Q145" s="2"/>
      <c r="R145" s="2"/>
      <c r="S145" s="2"/>
      <c r="T145" s="2"/>
      <c r="U145" s="2"/>
      <c r="V145" s="2"/>
      <c r="W145" s="2"/>
      <c r="X145" s="2"/>
      <c r="Y145" s="2"/>
      <c r="Z145" s="2"/>
      <c r="AA145" s="2"/>
      <c r="AB145" s="2"/>
      <c r="AC145" s="2"/>
      <c r="AD145" s="2"/>
      <c r="AE145" s="2"/>
      <c r="AF145" s="2"/>
      <c r="AG145" s="2"/>
      <c r="AH145" s="1"/>
      <c r="AI145" s="1"/>
      <c r="AJ145" s="1"/>
      <c r="AK145" s="1"/>
      <c r="AL145" s="1"/>
      <c r="AM145" s="1"/>
    </row>
    <row r="146" spans="1:39" ht="20.100000000000001" customHeight="1" x14ac:dyDescent="0.3">
      <c r="A146"/>
      <c r="B146" s="67"/>
      <c r="C146" s="18" t="s">
        <v>14</v>
      </c>
      <c r="D146" s="40" t="s">
        <v>15</v>
      </c>
      <c r="E146" s="19" t="s">
        <v>16</v>
      </c>
      <c r="F146" s="20" t="s">
        <v>17</v>
      </c>
      <c r="G146" s="20" t="s">
        <v>18</v>
      </c>
      <c r="H146" s="20" t="s">
        <v>19</v>
      </c>
      <c r="I146" s="20" t="s">
        <v>20</v>
      </c>
      <c r="J146" s="20" t="s">
        <v>21</v>
      </c>
      <c r="K146" s="137" t="s">
        <v>22</v>
      </c>
      <c r="L146" s="21" t="s">
        <v>23</v>
      </c>
      <c r="M146" s="2"/>
      <c r="N146" s="2"/>
      <c r="O146" s="2"/>
      <c r="P146" s="2"/>
      <c r="Q146" s="2"/>
      <c r="R146" s="2"/>
      <c r="S146" s="2"/>
      <c r="T146" s="2"/>
      <c r="U146" s="2"/>
      <c r="V146" s="2"/>
      <c r="W146" s="2"/>
      <c r="X146" s="2"/>
      <c r="Y146" s="2"/>
      <c r="Z146" s="2"/>
      <c r="AA146" s="2"/>
      <c r="AB146" s="2"/>
      <c r="AC146" s="2"/>
      <c r="AD146" s="2"/>
      <c r="AE146" s="2"/>
      <c r="AF146" s="2"/>
      <c r="AG146" s="2"/>
      <c r="AH146" s="1"/>
      <c r="AI146" s="1"/>
      <c r="AJ146" s="1"/>
      <c r="AK146" s="1"/>
      <c r="AL146" s="1"/>
      <c r="AM146" s="1"/>
    </row>
    <row r="147" spans="1:39" ht="208.8" x14ac:dyDescent="0.3">
      <c r="A147"/>
      <c r="B147" s="34"/>
      <c r="C147" s="63" t="s">
        <v>62</v>
      </c>
      <c r="D147" s="47" t="s">
        <v>63</v>
      </c>
      <c r="E147" s="123" t="s">
        <v>64</v>
      </c>
      <c r="F147" s="74"/>
      <c r="G147" s="74">
        <v>1</v>
      </c>
      <c r="H147" s="74"/>
      <c r="I147" s="74"/>
      <c r="J147" s="74"/>
      <c r="K147" s="74">
        <v>1</v>
      </c>
      <c r="L147" s="176" t="s">
        <v>362</v>
      </c>
      <c r="M147" s="2"/>
      <c r="N147" s="2"/>
      <c r="O147" s="2"/>
      <c r="P147" s="2"/>
      <c r="Q147" s="2"/>
      <c r="R147" s="2"/>
      <c r="S147" s="2"/>
      <c r="T147" s="2"/>
      <c r="U147" s="2"/>
      <c r="V147" s="2"/>
      <c r="W147" s="2"/>
      <c r="X147" s="2"/>
      <c r="Y147" s="2"/>
      <c r="Z147" s="2"/>
      <c r="AA147" s="2"/>
      <c r="AB147" s="2"/>
      <c r="AC147" s="2"/>
      <c r="AD147" s="2"/>
      <c r="AE147" s="2"/>
      <c r="AF147" s="2"/>
      <c r="AG147" s="2"/>
      <c r="AH147" s="1"/>
      <c r="AI147" s="1"/>
      <c r="AJ147" s="1"/>
      <c r="AK147" s="1"/>
      <c r="AL147" s="1"/>
      <c r="AM147" s="1"/>
    </row>
    <row r="148" spans="1:39" ht="33.9" customHeight="1" x14ac:dyDescent="0.3">
      <c r="A148"/>
      <c r="B148" s="34"/>
      <c r="C148" s="63" t="s">
        <v>85</v>
      </c>
      <c r="D148" s="47" t="s">
        <v>63</v>
      </c>
      <c r="E148" s="123" t="s">
        <v>64</v>
      </c>
      <c r="F148" s="74"/>
      <c r="G148" s="74">
        <v>1</v>
      </c>
      <c r="H148" s="74"/>
      <c r="I148" s="74"/>
      <c r="J148" s="74"/>
      <c r="K148" s="74">
        <v>1</v>
      </c>
      <c r="L148" s="62" t="s">
        <v>366</v>
      </c>
      <c r="M148" s="2"/>
      <c r="N148" s="2"/>
      <c r="O148" s="2"/>
      <c r="P148" s="2"/>
      <c r="Q148" s="2"/>
      <c r="R148" s="2"/>
      <c r="S148" s="2"/>
      <c r="T148" s="2"/>
      <c r="U148" s="2"/>
      <c r="V148" s="2"/>
      <c r="W148" s="2"/>
      <c r="X148" s="2"/>
      <c r="Y148" s="2"/>
      <c r="Z148" s="2"/>
      <c r="AA148" s="2"/>
      <c r="AB148" s="2"/>
      <c r="AC148" s="2"/>
      <c r="AD148" s="2"/>
      <c r="AE148" s="2"/>
      <c r="AF148" s="2"/>
      <c r="AG148" s="2"/>
      <c r="AH148" s="1"/>
      <c r="AI148" s="1"/>
      <c r="AJ148" s="1"/>
      <c r="AK148" s="1"/>
      <c r="AL148" s="1"/>
      <c r="AM148" s="1"/>
    </row>
    <row r="149" spans="1:39" ht="20.100000000000001" customHeight="1" thickBot="1" x14ac:dyDescent="0.35">
      <c r="A149"/>
      <c r="B149" s="34"/>
      <c r="C149" s="27"/>
      <c r="D149" s="43"/>
      <c r="E149" s="29"/>
      <c r="F149" s="72"/>
      <c r="G149" s="72"/>
      <c r="H149" s="72"/>
      <c r="I149" s="72"/>
      <c r="J149" s="72"/>
      <c r="K149" s="72"/>
      <c r="L149" s="30"/>
      <c r="M149" s="2"/>
      <c r="N149" s="2"/>
      <c r="O149" s="2"/>
      <c r="P149" s="2"/>
      <c r="Q149" s="2"/>
      <c r="R149" s="2"/>
      <c r="S149" s="2"/>
      <c r="T149" s="2"/>
      <c r="U149" s="2"/>
      <c r="V149" s="2"/>
      <c r="W149" s="2"/>
      <c r="X149" s="2"/>
      <c r="Y149" s="2"/>
      <c r="Z149" s="2"/>
      <c r="AA149" s="2"/>
      <c r="AB149" s="2"/>
      <c r="AC149" s="2"/>
      <c r="AD149" s="2"/>
      <c r="AE149" s="2"/>
      <c r="AF149" s="2"/>
      <c r="AG149" s="2"/>
      <c r="AH149" s="1"/>
      <c r="AI149" s="1"/>
      <c r="AJ149" s="1"/>
      <c r="AK149" s="1"/>
      <c r="AL149" s="1"/>
      <c r="AM149" s="1"/>
    </row>
    <row r="150" spans="1:39" ht="20.100000000000001" customHeight="1" x14ac:dyDescent="0.3">
      <c r="A150"/>
      <c r="B150" s="8"/>
      <c r="C150" s="8"/>
      <c r="D150" s="38"/>
      <c r="E150" s="10"/>
      <c r="F150" s="70">
        <f t="shared" ref="F150:K150" si="11">SUM(F147:F149)</f>
        <v>0</v>
      </c>
      <c r="G150" s="70">
        <f t="shared" si="11"/>
        <v>2</v>
      </c>
      <c r="H150" s="70">
        <f t="shared" si="11"/>
        <v>0</v>
      </c>
      <c r="I150" s="70">
        <f t="shared" si="11"/>
        <v>0</v>
      </c>
      <c r="J150" s="70">
        <f t="shared" si="11"/>
        <v>0</v>
      </c>
      <c r="K150" s="70">
        <f t="shared" si="11"/>
        <v>2</v>
      </c>
      <c r="L150" s="2"/>
      <c r="M150" s="2"/>
      <c r="N150" s="2"/>
      <c r="O150" s="2"/>
      <c r="P150" s="2"/>
      <c r="Q150" s="2"/>
      <c r="R150" s="2"/>
      <c r="S150" s="2"/>
      <c r="T150" s="2"/>
      <c r="U150" s="2"/>
      <c r="V150" s="2"/>
      <c r="W150" s="2"/>
      <c r="X150" s="2"/>
      <c r="Y150" s="2"/>
      <c r="Z150" s="2"/>
      <c r="AA150" s="2"/>
      <c r="AB150" s="2"/>
      <c r="AC150" s="2"/>
      <c r="AD150" s="2"/>
      <c r="AE150" s="2"/>
      <c r="AF150" s="2"/>
      <c r="AG150" s="2"/>
      <c r="AH150" s="1"/>
      <c r="AI150" s="1"/>
      <c r="AJ150" s="1"/>
      <c r="AK150" s="1"/>
      <c r="AL150" s="1"/>
      <c r="AM150" s="1"/>
    </row>
    <row r="151" spans="1:39" ht="20.100000000000001" customHeight="1" thickBot="1" x14ac:dyDescent="0.35">
      <c r="A151"/>
      <c r="B151" s="52"/>
      <c r="C151" s="166" t="s">
        <v>227</v>
      </c>
      <c r="D151" s="167"/>
      <c r="E151" s="35"/>
      <c r="F151" s="70"/>
      <c r="G151" s="70"/>
      <c r="H151" s="70"/>
      <c r="I151" s="70"/>
      <c r="J151" s="70"/>
      <c r="K151" s="70"/>
      <c r="L151" s="2"/>
      <c r="M151" s="2"/>
      <c r="N151" s="2"/>
      <c r="O151" s="2"/>
      <c r="P151" s="2"/>
      <c r="Q151" s="2"/>
      <c r="R151" s="2"/>
      <c r="S151" s="2"/>
      <c r="T151" s="2"/>
      <c r="U151" s="2"/>
      <c r="V151" s="2"/>
      <c r="W151" s="2"/>
      <c r="X151" s="2"/>
      <c r="Y151" s="2"/>
      <c r="Z151" s="2"/>
      <c r="AA151" s="2"/>
      <c r="AB151" s="2"/>
      <c r="AC151" s="2"/>
      <c r="AD151" s="2"/>
      <c r="AE151" s="2"/>
      <c r="AF151" s="2"/>
      <c r="AG151" s="2"/>
      <c r="AH151" s="1"/>
      <c r="AI151" s="1"/>
      <c r="AJ151" s="1"/>
      <c r="AK151" s="1"/>
      <c r="AL151" s="1"/>
      <c r="AM151" s="1"/>
    </row>
    <row r="152" spans="1:39" ht="20.100000000000001" customHeight="1" x14ac:dyDescent="0.3">
      <c r="A152"/>
      <c r="B152" s="67"/>
      <c r="C152" s="18" t="s">
        <v>14</v>
      </c>
      <c r="D152" s="40" t="s">
        <v>15</v>
      </c>
      <c r="E152" s="19" t="s">
        <v>16</v>
      </c>
      <c r="F152" s="20" t="s">
        <v>17</v>
      </c>
      <c r="G152" s="20" t="s">
        <v>18</v>
      </c>
      <c r="H152" s="20" t="s">
        <v>19</v>
      </c>
      <c r="I152" s="20" t="s">
        <v>20</v>
      </c>
      <c r="J152" s="20" t="s">
        <v>21</v>
      </c>
      <c r="K152" s="137" t="s">
        <v>22</v>
      </c>
      <c r="L152" s="21" t="s">
        <v>23</v>
      </c>
      <c r="M152" s="2"/>
      <c r="N152" s="2"/>
      <c r="O152" s="2"/>
      <c r="P152" s="2"/>
      <c r="Q152" s="2"/>
      <c r="R152" s="2"/>
      <c r="S152" s="2"/>
      <c r="T152" s="2"/>
      <c r="U152" s="2"/>
      <c r="V152" s="2"/>
      <c r="W152" s="2"/>
      <c r="X152" s="2"/>
      <c r="Y152" s="2"/>
      <c r="Z152" s="2"/>
      <c r="AA152" s="2"/>
      <c r="AB152" s="2"/>
      <c r="AC152" s="2"/>
      <c r="AD152" s="2"/>
      <c r="AE152" s="2"/>
      <c r="AF152" s="2"/>
      <c r="AG152" s="2"/>
      <c r="AH152" s="1"/>
      <c r="AI152" s="1"/>
      <c r="AJ152" s="1"/>
      <c r="AK152" s="1"/>
      <c r="AL152" s="1"/>
      <c r="AM152" s="1"/>
    </row>
    <row r="153" spans="1:39" ht="208.8" x14ac:dyDescent="0.3">
      <c r="A153"/>
      <c r="B153" s="34"/>
      <c r="C153" s="58" t="s">
        <v>228</v>
      </c>
      <c r="D153" s="32" t="s">
        <v>229</v>
      </c>
      <c r="E153" s="32" t="s">
        <v>230</v>
      </c>
      <c r="F153" s="73"/>
      <c r="G153" s="73">
        <v>1</v>
      </c>
      <c r="H153" s="73"/>
      <c r="I153" s="73"/>
      <c r="J153" s="73"/>
      <c r="K153" s="73">
        <v>1</v>
      </c>
      <c r="L153" s="180" t="s">
        <v>373</v>
      </c>
      <c r="M153" s="2"/>
      <c r="N153" s="2"/>
      <c r="O153" s="2"/>
      <c r="P153" s="2"/>
      <c r="Q153" s="2"/>
      <c r="R153" s="2"/>
      <c r="S153" s="2"/>
      <c r="T153" s="2"/>
      <c r="U153" s="2"/>
      <c r="V153" s="2"/>
      <c r="W153" s="2"/>
      <c r="X153" s="2"/>
      <c r="Y153" s="2"/>
      <c r="Z153" s="2"/>
      <c r="AA153" s="2"/>
      <c r="AB153" s="2"/>
      <c r="AC153" s="2"/>
      <c r="AD153" s="2"/>
      <c r="AE153" s="2"/>
      <c r="AF153" s="2"/>
      <c r="AG153" s="2"/>
      <c r="AH153" s="1"/>
      <c r="AI153" s="1"/>
      <c r="AJ153" s="1"/>
      <c r="AK153" s="1"/>
      <c r="AL153" s="1"/>
      <c r="AM153" s="1"/>
    </row>
    <row r="154" spans="1:39" ht="33.9" customHeight="1" x14ac:dyDescent="0.3">
      <c r="A154"/>
      <c r="B154" s="34"/>
      <c r="C154" s="159" t="s">
        <v>231</v>
      </c>
      <c r="D154" s="160" t="s">
        <v>232</v>
      </c>
      <c r="E154" s="32" t="s">
        <v>233</v>
      </c>
      <c r="F154" s="73"/>
      <c r="G154" s="73">
        <v>1</v>
      </c>
      <c r="H154" s="73"/>
      <c r="I154" s="73"/>
      <c r="J154" s="73"/>
      <c r="K154" s="73">
        <v>1</v>
      </c>
      <c r="L154" s="22" t="s">
        <v>372</v>
      </c>
      <c r="M154" s="2"/>
      <c r="N154" s="2"/>
      <c r="O154" s="2"/>
      <c r="P154" s="2"/>
      <c r="Q154" s="2"/>
      <c r="R154" s="2"/>
      <c r="S154" s="2"/>
      <c r="T154" s="2"/>
      <c r="U154" s="2"/>
      <c r="V154" s="2"/>
      <c r="W154" s="2"/>
      <c r="X154" s="2"/>
      <c r="Y154" s="2"/>
      <c r="Z154" s="2"/>
      <c r="AA154" s="2"/>
      <c r="AB154" s="2"/>
      <c r="AC154" s="2"/>
      <c r="AD154" s="2"/>
      <c r="AE154" s="2"/>
      <c r="AF154" s="2"/>
      <c r="AG154" s="2"/>
      <c r="AH154" s="1"/>
      <c r="AI154" s="1"/>
      <c r="AJ154" s="1"/>
      <c r="AK154" s="1"/>
      <c r="AL154" s="1"/>
      <c r="AM154" s="1"/>
    </row>
    <row r="155" spans="1:39" ht="33.9" customHeight="1" x14ac:dyDescent="0.3">
      <c r="A155"/>
      <c r="B155" s="34"/>
      <c r="C155" s="135" t="s">
        <v>234</v>
      </c>
      <c r="D155" s="121" t="s">
        <v>235</v>
      </c>
      <c r="E155" s="91" t="s">
        <v>236</v>
      </c>
      <c r="F155" s="73"/>
      <c r="G155" s="73">
        <v>1</v>
      </c>
      <c r="H155" s="73"/>
      <c r="I155" s="73"/>
      <c r="J155" s="73"/>
      <c r="K155" s="73">
        <v>1</v>
      </c>
      <c r="L155" s="92" t="s">
        <v>372</v>
      </c>
      <c r="M155" s="2"/>
      <c r="N155" s="2"/>
      <c r="O155" s="2"/>
      <c r="P155" s="2"/>
      <c r="Q155" s="2"/>
      <c r="R155" s="2"/>
      <c r="S155" s="2"/>
      <c r="T155" s="2"/>
      <c r="U155" s="2"/>
      <c r="V155" s="2"/>
      <c r="W155" s="2"/>
      <c r="X155" s="2"/>
      <c r="Y155" s="2"/>
      <c r="Z155" s="2"/>
      <c r="AA155" s="2"/>
      <c r="AB155" s="2"/>
      <c r="AC155" s="2"/>
      <c r="AD155" s="2"/>
      <c r="AE155" s="2"/>
      <c r="AF155" s="2"/>
      <c r="AG155" s="2"/>
      <c r="AH155" s="1"/>
      <c r="AI155" s="1"/>
      <c r="AJ155" s="1"/>
      <c r="AK155" s="1"/>
      <c r="AL155" s="1"/>
      <c r="AM155" s="1"/>
    </row>
    <row r="156" spans="1:39" ht="33.9" customHeight="1" thickBot="1" x14ac:dyDescent="0.35">
      <c r="A156"/>
      <c r="B156" s="34"/>
      <c r="C156" s="23" t="s">
        <v>237</v>
      </c>
      <c r="D156" s="50" t="s">
        <v>238</v>
      </c>
      <c r="E156" s="124" t="s">
        <v>239</v>
      </c>
      <c r="F156" s="75"/>
      <c r="G156" s="75">
        <v>1</v>
      </c>
      <c r="H156" s="75"/>
      <c r="I156" s="75"/>
      <c r="J156" s="75"/>
      <c r="K156" s="75">
        <v>1</v>
      </c>
      <c r="L156" s="24" t="s">
        <v>372</v>
      </c>
      <c r="M156" s="2"/>
      <c r="N156" s="2"/>
      <c r="O156" s="2"/>
      <c r="P156" s="2"/>
      <c r="Q156" s="2"/>
      <c r="R156" s="2"/>
      <c r="S156" s="2"/>
      <c r="T156" s="2"/>
      <c r="U156" s="2"/>
      <c r="V156" s="2"/>
      <c r="W156" s="2"/>
      <c r="X156" s="2"/>
      <c r="Y156" s="2"/>
      <c r="Z156" s="2"/>
      <c r="AA156" s="2"/>
      <c r="AB156" s="2"/>
      <c r="AC156" s="2"/>
      <c r="AD156" s="2"/>
      <c r="AE156" s="2"/>
      <c r="AF156" s="2"/>
      <c r="AG156" s="2"/>
      <c r="AH156" s="1"/>
      <c r="AI156" s="1"/>
      <c r="AJ156" s="1"/>
      <c r="AK156" s="1"/>
      <c r="AL156" s="1"/>
      <c r="AM156" s="1"/>
    </row>
    <row r="157" spans="1:39" ht="20.100000000000001" customHeight="1" x14ac:dyDescent="0.3">
      <c r="A157"/>
      <c r="B157" s="34"/>
      <c r="C157" s="16"/>
      <c r="D157" s="45"/>
      <c r="E157" s="35"/>
      <c r="F157" s="70">
        <f t="shared" ref="F157:K157" si="12">SUM(F153:F155)</f>
        <v>0</v>
      </c>
      <c r="G157" s="70">
        <f>SUM(G153:G156)</f>
        <v>4</v>
      </c>
      <c r="H157" s="70">
        <f t="shared" si="12"/>
        <v>0</v>
      </c>
      <c r="I157" s="70">
        <f t="shared" si="12"/>
        <v>0</v>
      </c>
      <c r="J157" s="70">
        <f t="shared" si="12"/>
        <v>0</v>
      </c>
      <c r="K157" s="70">
        <f>SUM(K153:K156)</f>
        <v>4</v>
      </c>
      <c r="L157" s="2"/>
      <c r="M157" s="2"/>
      <c r="N157" s="2"/>
      <c r="O157" s="2"/>
      <c r="P157" s="2"/>
      <c r="Q157" s="2"/>
      <c r="R157" s="2"/>
      <c r="S157" s="2"/>
      <c r="T157" s="2"/>
      <c r="U157" s="2"/>
      <c r="V157" s="2"/>
      <c r="W157" s="2"/>
      <c r="X157" s="2"/>
      <c r="Y157" s="2"/>
      <c r="Z157" s="2"/>
      <c r="AA157" s="2"/>
      <c r="AB157" s="2"/>
      <c r="AC157" s="2"/>
      <c r="AD157" s="2"/>
      <c r="AE157" s="2"/>
      <c r="AF157" s="2"/>
      <c r="AG157" s="2"/>
      <c r="AH157" s="1"/>
      <c r="AI157" s="1"/>
      <c r="AJ157" s="1"/>
      <c r="AK157" s="1"/>
      <c r="AL157" s="1"/>
      <c r="AM157" s="1"/>
    </row>
    <row r="158" spans="1:39" ht="20.100000000000001" customHeight="1" thickBot="1" x14ac:dyDescent="0.35">
      <c r="A158"/>
      <c r="B158" s="52"/>
      <c r="C158" s="152" t="s">
        <v>240</v>
      </c>
      <c r="D158" s="53"/>
      <c r="E158" s="35"/>
      <c r="F158" s="70"/>
      <c r="G158" s="70"/>
      <c r="H158" s="70"/>
      <c r="I158" s="70"/>
      <c r="J158" s="70"/>
      <c r="K158" s="70"/>
      <c r="L158" s="2"/>
      <c r="M158" s="8"/>
      <c r="N158" s="2"/>
      <c r="O158" s="2"/>
      <c r="P158" s="2"/>
      <c r="Q158" s="2"/>
      <c r="R158" s="2"/>
      <c r="S158" s="2"/>
      <c r="T158" s="2"/>
      <c r="U158" s="2"/>
      <c r="V158" s="2"/>
      <c r="W158" s="2"/>
      <c r="X158" s="2"/>
      <c r="Y158" s="2"/>
      <c r="Z158" s="2"/>
      <c r="AA158" s="2"/>
      <c r="AB158" s="2"/>
      <c r="AC158" s="2"/>
      <c r="AD158" s="2"/>
      <c r="AE158" s="2"/>
      <c r="AF158" s="2"/>
      <c r="AG158" s="2"/>
      <c r="AH158" s="1"/>
      <c r="AI158" s="1"/>
      <c r="AJ158" s="1"/>
      <c r="AK158" s="1"/>
      <c r="AL158" s="1"/>
      <c r="AM158" s="1"/>
    </row>
    <row r="159" spans="1:39" ht="20.100000000000001" customHeight="1" x14ac:dyDescent="0.3">
      <c r="A159"/>
      <c r="B159" s="67"/>
      <c r="C159" s="18" t="s">
        <v>14</v>
      </c>
      <c r="D159" s="40" t="s">
        <v>15</v>
      </c>
      <c r="E159" s="19" t="s">
        <v>16</v>
      </c>
      <c r="F159" s="20" t="s">
        <v>17</v>
      </c>
      <c r="G159" s="20" t="s">
        <v>18</v>
      </c>
      <c r="H159" s="20" t="s">
        <v>19</v>
      </c>
      <c r="I159" s="20" t="s">
        <v>20</v>
      </c>
      <c r="J159" s="20" t="s">
        <v>21</v>
      </c>
      <c r="K159" s="137" t="s">
        <v>22</v>
      </c>
      <c r="L159" s="21" t="s">
        <v>23</v>
      </c>
      <c r="M159" s="8"/>
      <c r="N159" s="8"/>
    </row>
    <row r="160" spans="1:39" ht="208.8" x14ac:dyDescent="0.3">
      <c r="A160"/>
      <c r="B160" s="34"/>
      <c r="C160" s="58" t="s">
        <v>241</v>
      </c>
      <c r="D160" s="32" t="s">
        <v>242</v>
      </c>
      <c r="E160" s="32" t="s">
        <v>243</v>
      </c>
      <c r="F160" s="73"/>
      <c r="G160" s="73">
        <v>1</v>
      </c>
      <c r="H160" s="73"/>
      <c r="I160" s="73"/>
      <c r="J160" s="73"/>
      <c r="K160" s="73">
        <v>1</v>
      </c>
      <c r="L160" s="180" t="s">
        <v>373</v>
      </c>
      <c r="M160" s="8"/>
      <c r="N160" s="8"/>
    </row>
    <row r="161" spans="1:14" ht="18.899999999999999" customHeight="1" x14ac:dyDescent="0.3">
      <c r="A161"/>
      <c r="B161" s="34"/>
      <c r="C161" s="58" t="s">
        <v>244</v>
      </c>
      <c r="D161" s="32" t="s">
        <v>245</v>
      </c>
      <c r="E161" s="32" t="s">
        <v>246</v>
      </c>
      <c r="F161" s="73"/>
      <c r="G161" s="73">
        <v>1</v>
      </c>
      <c r="H161" s="73"/>
      <c r="I161" s="73"/>
      <c r="J161" s="73"/>
      <c r="K161" s="73">
        <v>1</v>
      </c>
      <c r="L161" s="22" t="s">
        <v>372</v>
      </c>
      <c r="M161" s="8"/>
      <c r="N161" s="8"/>
    </row>
    <row r="162" spans="1:14" ht="18.899999999999999" customHeight="1" x14ac:dyDescent="0.3">
      <c r="A162"/>
      <c r="B162" s="34"/>
      <c r="C162" s="58" t="s">
        <v>247</v>
      </c>
      <c r="D162" s="47" t="s">
        <v>66</v>
      </c>
      <c r="E162" s="101" t="s">
        <v>67</v>
      </c>
      <c r="F162" s="73"/>
      <c r="G162" s="73">
        <v>1</v>
      </c>
      <c r="H162" s="73"/>
      <c r="I162" s="73"/>
      <c r="J162" s="73"/>
      <c r="K162" s="73">
        <v>1</v>
      </c>
      <c r="L162" s="22" t="s">
        <v>372</v>
      </c>
      <c r="M162" s="8"/>
      <c r="N162" s="8"/>
    </row>
    <row r="163" spans="1:14" ht="18.899999999999999" customHeight="1" x14ac:dyDescent="0.3">
      <c r="A163"/>
      <c r="B163" s="34"/>
      <c r="C163" s="58" t="s">
        <v>248</v>
      </c>
      <c r="D163" s="32"/>
      <c r="E163" s="32"/>
      <c r="F163" s="73"/>
      <c r="G163" s="73">
        <v>1</v>
      </c>
      <c r="H163" s="73"/>
      <c r="I163" s="73"/>
      <c r="J163" s="73"/>
      <c r="K163" s="73">
        <v>1</v>
      </c>
      <c r="L163" s="22" t="s">
        <v>372</v>
      </c>
      <c r="M163" s="8"/>
      <c r="N163" s="8"/>
    </row>
    <row r="164" spans="1:14" ht="18.899999999999999" customHeight="1" thickBot="1" x14ac:dyDescent="0.35">
      <c r="A164"/>
      <c r="B164" s="34"/>
      <c r="C164" s="23"/>
      <c r="D164" s="41"/>
      <c r="E164" s="31"/>
      <c r="F164" s="75"/>
      <c r="G164" s="75"/>
      <c r="H164" s="75"/>
      <c r="I164" s="75"/>
      <c r="J164" s="75"/>
      <c r="K164" s="75"/>
      <c r="L164" s="24"/>
      <c r="M164" s="8"/>
      <c r="N164" s="8"/>
    </row>
    <row r="165" spans="1:14" ht="20.100000000000001" customHeight="1" x14ac:dyDescent="0.3">
      <c r="A165"/>
      <c r="B165" s="8"/>
      <c r="C165" s="8"/>
      <c r="D165" s="38"/>
      <c r="E165" s="10"/>
      <c r="F165" s="70">
        <f t="shared" ref="F165:K165" si="13">SUM(F160:F164)</f>
        <v>0</v>
      </c>
      <c r="G165" s="70">
        <f t="shared" si="13"/>
        <v>4</v>
      </c>
      <c r="H165" s="70">
        <f t="shared" si="13"/>
        <v>0</v>
      </c>
      <c r="I165" s="70">
        <f t="shared" si="13"/>
        <v>0</v>
      </c>
      <c r="J165" s="70">
        <f t="shared" si="13"/>
        <v>0</v>
      </c>
      <c r="K165" s="70">
        <f t="shared" si="13"/>
        <v>4</v>
      </c>
      <c r="L165" s="8"/>
      <c r="M165" s="8"/>
      <c r="N165" s="8"/>
    </row>
    <row r="166" spans="1:14" ht="20.100000000000001" customHeight="1" thickBot="1" x14ac:dyDescent="0.35">
      <c r="A166"/>
      <c r="B166" s="52"/>
      <c r="C166" s="166" t="s">
        <v>249</v>
      </c>
      <c r="D166" s="167"/>
      <c r="E166" s="35"/>
      <c r="F166" s="70"/>
      <c r="G166" s="70"/>
      <c r="H166" s="70"/>
      <c r="I166" s="70"/>
      <c r="J166" s="70"/>
      <c r="K166" s="70"/>
      <c r="L166" s="2"/>
      <c r="M166" s="8"/>
      <c r="N166" s="8"/>
    </row>
    <row r="167" spans="1:14" ht="20.100000000000001" customHeight="1" x14ac:dyDescent="0.3">
      <c r="A167"/>
      <c r="B167" s="67"/>
      <c r="C167" s="18" t="s">
        <v>14</v>
      </c>
      <c r="D167" s="40" t="s">
        <v>15</v>
      </c>
      <c r="E167" s="19" t="s">
        <v>16</v>
      </c>
      <c r="F167" s="20" t="s">
        <v>17</v>
      </c>
      <c r="G167" s="20" t="s">
        <v>18</v>
      </c>
      <c r="H167" s="20" t="s">
        <v>19</v>
      </c>
      <c r="I167" s="20" t="s">
        <v>20</v>
      </c>
      <c r="J167" s="20" t="s">
        <v>21</v>
      </c>
      <c r="K167" s="137" t="s">
        <v>22</v>
      </c>
      <c r="L167" s="21" t="s">
        <v>23</v>
      </c>
      <c r="M167" s="8"/>
      <c r="N167" s="8"/>
    </row>
    <row r="168" spans="1:14" ht="18.899999999999999" customHeight="1" x14ac:dyDescent="0.3">
      <c r="A168"/>
      <c r="B168" s="34"/>
      <c r="C168" s="58" t="s">
        <v>250</v>
      </c>
      <c r="D168" s="32"/>
      <c r="E168" s="32"/>
      <c r="F168" s="73"/>
      <c r="G168" s="73"/>
      <c r="H168" s="73"/>
      <c r="I168" s="73"/>
      <c r="J168" s="73"/>
      <c r="K168" s="73"/>
      <c r="L168" s="22"/>
      <c r="M168" s="8"/>
      <c r="N168" s="8"/>
    </row>
    <row r="169" spans="1:14" ht="18.899999999999999" customHeight="1" thickBot="1" x14ac:dyDescent="0.35">
      <c r="A169"/>
      <c r="B169" s="34"/>
      <c r="C169" s="23"/>
      <c r="D169" s="41"/>
      <c r="E169" s="31"/>
      <c r="F169" s="75"/>
      <c r="G169" s="75"/>
      <c r="H169" s="75"/>
      <c r="I169" s="75"/>
      <c r="J169" s="75"/>
      <c r="K169" s="75"/>
      <c r="L169" s="24"/>
      <c r="M169" s="8"/>
      <c r="N169" s="8"/>
    </row>
    <row r="170" spans="1:14" ht="20.100000000000001" customHeight="1" x14ac:dyDescent="0.3">
      <c r="A170"/>
      <c r="B170" s="8"/>
      <c r="C170" s="8"/>
      <c r="D170" s="38"/>
      <c r="E170" s="10"/>
      <c r="F170" s="70">
        <f t="shared" ref="F170:K170" si="14">SUM(F168:F169)</f>
        <v>0</v>
      </c>
      <c r="G170" s="70">
        <f t="shared" si="14"/>
        <v>0</v>
      </c>
      <c r="H170" s="70">
        <f t="shared" si="14"/>
        <v>0</v>
      </c>
      <c r="I170" s="70">
        <f t="shared" si="14"/>
        <v>0</v>
      </c>
      <c r="J170" s="70">
        <f t="shared" si="14"/>
        <v>0</v>
      </c>
      <c r="K170" s="70">
        <f t="shared" si="14"/>
        <v>0</v>
      </c>
      <c r="L170" s="8"/>
      <c r="M170" s="8"/>
      <c r="N170" s="8"/>
    </row>
    <row r="171" spans="1:14" ht="20.100000000000001" customHeight="1" thickBot="1" x14ac:dyDescent="0.35">
      <c r="A171"/>
      <c r="B171" s="52"/>
      <c r="C171" s="166" t="s">
        <v>251</v>
      </c>
      <c r="D171" s="167"/>
      <c r="E171" s="35"/>
      <c r="F171" s="70"/>
      <c r="G171" s="70"/>
      <c r="H171" s="70"/>
      <c r="I171" s="70"/>
      <c r="J171" s="70"/>
      <c r="K171" s="70"/>
      <c r="L171" s="2"/>
      <c r="M171" s="8"/>
      <c r="N171" s="8"/>
    </row>
    <row r="172" spans="1:14" ht="20.100000000000001" customHeight="1" x14ac:dyDescent="0.3">
      <c r="A172"/>
      <c r="B172" s="67"/>
      <c r="C172" s="18" t="s">
        <v>14</v>
      </c>
      <c r="D172" s="40" t="s">
        <v>15</v>
      </c>
      <c r="E172" s="19" t="s">
        <v>16</v>
      </c>
      <c r="F172" s="20" t="s">
        <v>17</v>
      </c>
      <c r="G172" s="20" t="s">
        <v>18</v>
      </c>
      <c r="H172" s="20" t="s">
        <v>19</v>
      </c>
      <c r="I172" s="20" t="s">
        <v>20</v>
      </c>
      <c r="J172" s="20" t="s">
        <v>21</v>
      </c>
      <c r="K172" s="137" t="s">
        <v>22</v>
      </c>
      <c r="L172" s="21" t="s">
        <v>23</v>
      </c>
      <c r="M172" s="8"/>
      <c r="N172" s="8"/>
    </row>
    <row r="173" spans="1:14" ht="18.899999999999999" customHeight="1" x14ac:dyDescent="0.3">
      <c r="A173"/>
      <c r="B173" s="34"/>
      <c r="C173" s="116" t="s">
        <v>252</v>
      </c>
      <c r="D173" s="115"/>
      <c r="E173" s="115"/>
      <c r="F173" s="73"/>
      <c r="G173" s="73"/>
      <c r="H173" s="73"/>
      <c r="I173" s="73"/>
      <c r="J173" s="73"/>
      <c r="K173" s="73"/>
      <c r="L173" s="22"/>
      <c r="M173" s="8"/>
      <c r="N173" s="8"/>
    </row>
    <row r="174" spans="1:14" ht="18.899999999999999" customHeight="1" thickBot="1" x14ac:dyDescent="0.35">
      <c r="A174"/>
      <c r="B174" s="34"/>
      <c r="C174" s="111"/>
      <c r="D174" s="117"/>
      <c r="E174" s="118"/>
      <c r="F174" s="75"/>
      <c r="G174" s="75"/>
      <c r="H174" s="75"/>
      <c r="I174" s="75"/>
      <c r="J174" s="75"/>
      <c r="K174" s="75"/>
      <c r="L174" s="24"/>
      <c r="M174" s="8"/>
      <c r="N174" s="8"/>
    </row>
    <row r="175" spans="1:14" ht="20.100000000000001" customHeight="1" x14ac:dyDescent="0.3">
      <c r="A175"/>
      <c r="B175" s="8"/>
      <c r="C175" s="8"/>
      <c r="D175" s="38"/>
      <c r="E175" s="10"/>
      <c r="F175" s="70">
        <f t="shared" ref="F175:K175" si="15">SUM(F173:F174)</f>
        <v>0</v>
      </c>
      <c r="G175" s="70">
        <f t="shared" si="15"/>
        <v>0</v>
      </c>
      <c r="H175" s="70">
        <f t="shared" si="15"/>
        <v>0</v>
      </c>
      <c r="I175" s="70">
        <f t="shared" si="15"/>
        <v>0</v>
      </c>
      <c r="J175" s="70">
        <f t="shared" si="15"/>
        <v>0</v>
      </c>
      <c r="K175" s="70">
        <f t="shared" si="15"/>
        <v>0</v>
      </c>
      <c r="L175" s="8"/>
      <c r="M175" s="8"/>
      <c r="N175" s="8"/>
    </row>
    <row r="176" spans="1:14" ht="20.100000000000001" customHeight="1" thickBot="1" x14ac:dyDescent="0.35">
      <c r="A176"/>
      <c r="B176" s="52"/>
      <c r="C176" s="169" t="s">
        <v>253</v>
      </c>
      <c r="D176" s="170"/>
      <c r="E176" s="35"/>
      <c r="F176" s="70"/>
      <c r="G176" s="70"/>
      <c r="H176" s="70"/>
      <c r="I176" s="70"/>
      <c r="J176" s="70"/>
      <c r="K176" s="70"/>
      <c r="L176" s="2"/>
      <c r="M176" s="8"/>
      <c r="N176" s="8"/>
    </row>
    <row r="177" spans="1:14" ht="20.100000000000001" customHeight="1" x14ac:dyDescent="0.3">
      <c r="A177"/>
      <c r="B177" s="67"/>
      <c r="C177" s="18" t="s">
        <v>14</v>
      </c>
      <c r="D177" s="40" t="s">
        <v>15</v>
      </c>
      <c r="E177" s="19" t="s">
        <v>16</v>
      </c>
      <c r="F177" s="20" t="s">
        <v>17</v>
      </c>
      <c r="G177" s="20" t="s">
        <v>18</v>
      </c>
      <c r="H177" s="20" t="s">
        <v>19</v>
      </c>
      <c r="I177" s="20" t="s">
        <v>20</v>
      </c>
      <c r="J177" s="20" t="s">
        <v>21</v>
      </c>
      <c r="K177" s="137" t="s">
        <v>22</v>
      </c>
      <c r="L177" s="21" t="s">
        <v>23</v>
      </c>
      <c r="M177" s="8"/>
      <c r="N177" s="8"/>
    </row>
    <row r="178" spans="1:14" ht="208.8" x14ac:dyDescent="0.3">
      <c r="A178"/>
      <c r="B178" s="34"/>
      <c r="C178" s="100" t="s">
        <v>254</v>
      </c>
      <c r="D178" s="32" t="s">
        <v>196</v>
      </c>
      <c r="E178" s="32" t="s">
        <v>197</v>
      </c>
      <c r="F178" s="73"/>
      <c r="G178" s="73">
        <v>1</v>
      </c>
      <c r="H178" s="73"/>
      <c r="I178" s="73"/>
      <c r="J178" s="73"/>
      <c r="K178" s="73">
        <v>1</v>
      </c>
      <c r="L178" s="180" t="s">
        <v>373</v>
      </c>
      <c r="M178" s="8"/>
      <c r="N178" s="8"/>
    </row>
    <row r="179" spans="1:14" ht="18.899999999999999" customHeight="1" x14ac:dyDescent="0.3">
      <c r="A179"/>
      <c r="B179" s="34"/>
      <c r="C179" s="58" t="s">
        <v>255</v>
      </c>
      <c r="D179" s="32" t="s">
        <v>256</v>
      </c>
      <c r="E179" s="32"/>
      <c r="F179" s="73"/>
      <c r="G179" s="73">
        <v>1</v>
      </c>
      <c r="H179" s="73"/>
      <c r="I179" s="73"/>
      <c r="J179" s="73"/>
      <c r="K179" s="73">
        <v>1</v>
      </c>
      <c r="L179" s="22" t="s">
        <v>372</v>
      </c>
      <c r="M179" s="8"/>
      <c r="N179" s="8"/>
    </row>
    <row r="180" spans="1:14" ht="18.899999999999999" customHeight="1" x14ac:dyDescent="0.3">
      <c r="A180"/>
      <c r="B180" s="34"/>
      <c r="C180" s="58" t="s">
        <v>257</v>
      </c>
      <c r="D180" s="32"/>
      <c r="E180" s="32"/>
      <c r="F180" s="73"/>
      <c r="G180" s="73">
        <v>1</v>
      </c>
      <c r="H180" s="73"/>
      <c r="I180" s="73"/>
      <c r="J180" s="73"/>
      <c r="K180" s="73">
        <v>1</v>
      </c>
      <c r="L180" s="22" t="s">
        <v>372</v>
      </c>
      <c r="M180" s="8"/>
      <c r="N180" s="8"/>
    </row>
    <row r="181" spans="1:14" ht="18.899999999999999" customHeight="1" thickBot="1" x14ac:dyDescent="0.35">
      <c r="A181"/>
      <c r="B181" s="34"/>
      <c r="C181" s="23"/>
      <c r="D181" s="41"/>
      <c r="E181" s="31"/>
      <c r="F181" s="75"/>
      <c r="G181" s="75"/>
      <c r="H181" s="75"/>
      <c r="I181" s="75"/>
      <c r="J181" s="75"/>
      <c r="K181" s="75"/>
      <c r="L181" s="24"/>
      <c r="M181" s="8"/>
      <c r="N181" s="8"/>
    </row>
    <row r="182" spans="1:14" ht="20.100000000000001" customHeight="1" x14ac:dyDescent="0.3">
      <c r="A182"/>
      <c r="B182" s="8"/>
      <c r="C182" s="8"/>
      <c r="D182" s="38"/>
      <c r="E182" s="10"/>
      <c r="F182" s="70">
        <f t="shared" ref="F182:K182" si="16">SUM(F178:F181)</f>
        <v>0</v>
      </c>
      <c r="G182" s="70">
        <f t="shared" si="16"/>
        <v>3</v>
      </c>
      <c r="H182" s="70">
        <f t="shared" si="16"/>
        <v>0</v>
      </c>
      <c r="I182" s="70">
        <f t="shared" si="16"/>
        <v>0</v>
      </c>
      <c r="J182" s="70">
        <f t="shared" si="16"/>
        <v>0</v>
      </c>
      <c r="K182" s="70">
        <f t="shared" si="16"/>
        <v>3</v>
      </c>
      <c r="L182" s="8"/>
      <c r="M182" s="8"/>
      <c r="N182" s="8"/>
    </row>
    <row r="183" spans="1:14" ht="20.100000000000001" customHeight="1" thickBot="1" x14ac:dyDescent="0.35">
      <c r="A183"/>
      <c r="B183" s="52"/>
      <c r="C183" s="169" t="s">
        <v>258</v>
      </c>
      <c r="D183" s="170"/>
      <c r="E183" s="35"/>
      <c r="F183" s="70"/>
      <c r="G183" s="70"/>
      <c r="H183" s="70"/>
      <c r="I183" s="70"/>
      <c r="J183" s="70"/>
      <c r="K183" s="70"/>
      <c r="L183" s="2"/>
      <c r="M183" s="8"/>
      <c r="N183" s="8"/>
    </row>
    <row r="184" spans="1:14" ht="20.100000000000001" customHeight="1" x14ac:dyDescent="0.3">
      <c r="A184"/>
      <c r="B184" s="67"/>
      <c r="C184" s="18" t="s">
        <v>14</v>
      </c>
      <c r="D184" s="40" t="s">
        <v>15</v>
      </c>
      <c r="E184" s="19" t="s">
        <v>16</v>
      </c>
      <c r="F184" s="20" t="s">
        <v>17</v>
      </c>
      <c r="G184" s="20" t="s">
        <v>18</v>
      </c>
      <c r="H184" s="20" t="s">
        <v>19</v>
      </c>
      <c r="I184" s="20" t="s">
        <v>20</v>
      </c>
      <c r="J184" s="20" t="s">
        <v>21</v>
      </c>
      <c r="K184" s="137" t="s">
        <v>22</v>
      </c>
      <c r="L184" s="21" t="s">
        <v>23</v>
      </c>
      <c r="M184" s="8"/>
      <c r="N184" s="8"/>
    </row>
    <row r="185" spans="1:14" ht="208.8" x14ac:dyDescent="0.3">
      <c r="A185"/>
      <c r="B185" s="34"/>
      <c r="C185" s="58" t="s">
        <v>228</v>
      </c>
      <c r="D185" s="32" t="s">
        <v>229</v>
      </c>
      <c r="E185" s="32" t="s">
        <v>230</v>
      </c>
      <c r="F185" s="73"/>
      <c r="G185" s="73">
        <v>1</v>
      </c>
      <c r="H185" s="73"/>
      <c r="I185" s="73"/>
      <c r="J185" s="73"/>
      <c r="K185" s="73">
        <v>1</v>
      </c>
      <c r="L185" s="180" t="s">
        <v>373</v>
      </c>
      <c r="M185" s="8"/>
      <c r="N185" s="8"/>
    </row>
    <row r="186" spans="1:14" ht="33.9" customHeight="1" x14ac:dyDescent="0.3">
      <c r="A186"/>
      <c r="B186" s="34"/>
      <c r="C186" s="58" t="s">
        <v>259</v>
      </c>
      <c r="D186" s="32" t="s">
        <v>260</v>
      </c>
      <c r="E186" s="32" t="s">
        <v>230</v>
      </c>
      <c r="F186" s="73"/>
      <c r="G186" s="73">
        <v>1</v>
      </c>
      <c r="H186" s="73"/>
      <c r="I186" s="73"/>
      <c r="J186" s="73"/>
      <c r="K186" s="73">
        <v>1</v>
      </c>
      <c r="L186" s="22" t="s">
        <v>372</v>
      </c>
      <c r="M186" s="8"/>
      <c r="N186" s="8"/>
    </row>
    <row r="187" spans="1:14" ht="33.9" customHeight="1" x14ac:dyDescent="0.3">
      <c r="A187"/>
      <c r="B187" s="34"/>
      <c r="C187" s="58" t="s">
        <v>261</v>
      </c>
      <c r="D187" s="32" t="s">
        <v>262</v>
      </c>
      <c r="E187" s="32" t="s">
        <v>230</v>
      </c>
      <c r="F187" s="73"/>
      <c r="G187" s="73">
        <v>1</v>
      </c>
      <c r="H187" s="73"/>
      <c r="I187" s="73"/>
      <c r="J187" s="73"/>
      <c r="K187" s="73">
        <v>1</v>
      </c>
      <c r="L187" s="22" t="s">
        <v>372</v>
      </c>
      <c r="M187" s="8"/>
      <c r="N187" s="8"/>
    </row>
    <row r="188" spans="1:14" ht="33.9" customHeight="1" x14ac:dyDescent="0.3">
      <c r="A188"/>
      <c r="B188" s="34"/>
      <c r="C188" s="133" t="s">
        <v>263</v>
      </c>
      <c r="D188" s="134" t="s">
        <v>232</v>
      </c>
      <c r="E188" s="32" t="s">
        <v>233</v>
      </c>
      <c r="F188" s="74"/>
      <c r="G188" s="74">
        <v>1</v>
      </c>
      <c r="H188" s="74"/>
      <c r="I188" s="74"/>
      <c r="J188" s="74"/>
      <c r="K188" s="74">
        <v>1</v>
      </c>
      <c r="L188" s="62" t="s">
        <v>372</v>
      </c>
      <c r="M188" s="8"/>
      <c r="N188" s="8"/>
    </row>
    <row r="189" spans="1:14" ht="33.9" customHeight="1" x14ac:dyDescent="0.3">
      <c r="A189"/>
      <c r="B189" s="34"/>
      <c r="C189" s="136" t="s">
        <v>264</v>
      </c>
      <c r="D189" s="134" t="s">
        <v>265</v>
      </c>
      <c r="E189" s="32" t="s">
        <v>230</v>
      </c>
      <c r="F189" s="74"/>
      <c r="G189" s="74">
        <v>1</v>
      </c>
      <c r="H189" s="74"/>
      <c r="I189" s="74"/>
      <c r="J189" s="74"/>
      <c r="K189" s="74">
        <v>1</v>
      </c>
      <c r="L189" s="62" t="s">
        <v>372</v>
      </c>
      <c r="M189" s="8"/>
      <c r="N189" s="8"/>
    </row>
    <row r="190" spans="1:14" ht="21.9" customHeight="1" thickBot="1" x14ac:dyDescent="0.35">
      <c r="A190"/>
      <c r="B190" s="34"/>
      <c r="C190" s="23"/>
      <c r="D190" s="41"/>
      <c r="E190" s="31"/>
      <c r="F190" s="75"/>
      <c r="G190" s="75"/>
      <c r="H190" s="75"/>
      <c r="I190" s="75"/>
      <c r="J190" s="75"/>
      <c r="K190" s="75"/>
      <c r="L190" s="24"/>
      <c r="M190" s="8"/>
      <c r="N190" s="8"/>
    </row>
    <row r="191" spans="1:14" ht="20.100000000000001" customHeight="1" x14ac:dyDescent="0.3">
      <c r="A191"/>
      <c r="B191" s="8"/>
      <c r="C191" s="8"/>
      <c r="D191" s="38"/>
      <c r="E191" s="10"/>
      <c r="F191" s="70">
        <f t="shared" ref="F191:K191" si="17">SUM(F185:F190)</f>
        <v>0</v>
      </c>
      <c r="G191" s="70">
        <f t="shared" si="17"/>
        <v>5</v>
      </c>
      <c r="H191" s="70">
        <f t="shared" si="17"/>
        <v>0</v>
      </c>
      <c r="I191" s="70">
        <f t="shared" si="17"/>
        <v>0</v>
      </c>
      <c r="J191" s="70">
        <f t="shared" si="17"/>
        <v>0</v>
      </c>
      <c r="K191" s="70">
        <f t="shared" si="17"/>
        <v>5</v>
      </c>
      <c r="L191" s="8"/>
      <c r="M191" s="8"/>
      <c r="N191" s="8"/>
    </row>
    <row r="192" spans="1:14" ht="20.100000000000001" customHeight="1" thickBot="1" x14ac:dyDescent="0.35">
      <c r="A192"/>
      <c r="B192" s="52"/>
      <c r="C192" s="166" t="s">
        <v>266</v>
      </c>
      <c r="D192" s="167"/>
      <c r="E192" s="35"/>
      <c r="F192" s="70"/>
      <c r="G192" s="70"/>
      <c r="H192" s="70"/>
      <c r="I192" s="70"/>
      <c r="J192" s="70"/>
      <c r="K192" s="70"/>
      <c r="L192" s="2"/>
      <c r="M192" s="8"/>
      <c r="N192" s="8"/>
    </row>
    <row r="193" spans="1:14" ht="20.100000000000001" customHeight="1" x14ac:dyDescent="0.3">
      <c r="A193"/>
      <c r="B193" s="67"/>
      <c r="C193" s="18" t="s">
        <v>14</v>
      </c>
      <c r="D193" s="40" t="s">
        <v>15</v>
      </c>
      <c r="E193" s="19" t="s">
        <v>16</v>
      </c>
      <c r="F193" s="20" t="s">
        <v>17</v>
      </c>
      <c r="G193" s="20" t="s">
        <v>18</v>
      </c>
      <c r="H193" s="20" t="s">
        <v>19</v>
      </c>
      <c r="I193" s="20" t="s">
        <v>20</v>
      </c>
      <c r="J193" s="20" t="s">
        <v>21</v>
      </c>
      <c r="K193" s="137" t="s">
        <v>22</v>
      </c>
      <c r="L193" s="21" t="s">
        <v>23</v>
      </c>
      <c r="M193" s="8"/>
      <c r="N193" s="8"/>
    </row>
    <row r="194" spans="1:14" ht="208.8" x14ac:dyDescent="0.3">
      <c r="A194"/>
      <c r="B194" s="34"/>
      <c r="C194" s="58" t="s">
        <v>267</v>
      </c>
      <c r="D194" s="32" t="s">
        <v>268</v>
      </c>
      <c r="E194" s="32" t="s">
        <v>269</v>
      </c>
      <c r="F194" s="73"/>
      <c r="G194" s="73">
        <v>1</v>
      </c>
      <c r="H194" s="73"/>
      <c r="I194" s="73"/>
      <c r="J194" s="73"/>
      <c r="K194" s="73">
        <v>1</v>
      </c>
      <c r="L194" s="180" t="s">
        <v>373</v>
      </c>
      <c r="M194" s="8"/>
      <c r="N194" s="8"/>
    </row>
    <row r="195" spans="1:14" ht="18.899999999999999" customHeight="1" x14ac:dyDescent="0.3">
      <c r="A195"/>
      <c r="B195" s="34"/>
      <c r="C195" s="58" t="s">
        <v>270</v>
      </c>
      <c r="D195" s="32" t="s">
        <v>271</v>
      </c>
      <c r="E195" s="32" t="s">
        <v>272</v>
      </c>
      <c r="F195" s="73"/>
      <c r="G195" s="73">
        <v>1</v>
      </c>
      <c r="H195" s="73"/>
      <c r="I195" s="73"/>
      <c r="J195" s="73"/>
      <c r="K195" s="73">
        <v>1</v>
      </c>
      <c r="L195" s="22" t="s">
        <v>366</v>
      </c>
      <c r="M195" s="8"/>
      <c r="N195" s="8"/>
    </row>
    <row r="196" spans="1:14" ht="18.899999999999999" customHeight="1" x14ac:dyDescent="0.3">
      <c r="A196"/>
      <c r="B196" s="34"/>
      <c r="C196" s="58" t="s">
        <v>273</v>
      </c>
      <c r="D196" s="58" t="s">
        <v>274</v>
      </c>
      <c r="E196" s="32" t="s">
        <v>275</v>
      </c>
      <c r="F196" s="73"/>
      <c r="G196" s="73">
        <v>1</v>
      </c>
      <c r="H196" s="73"/>
      <c r="I196" s="73"/>
      <c r="J196" s="73"/>
      <c r="K196" s="73">
        <v>1</v>
      </c>
      <c r="L196" s="22" t="s">
        <v>366</v>
      </c>
      <c r="M196" s="8"/>
      <c r="N196" s="8"/>
    </row>
    <row r="197" spans="1:14" ht="18.899999999999999" customHeight="1" x14ac:dyDescent="0.3">
      <c r="A197"/>
      <c r="B197" s="34"/>
      <c r="C197" s="58" t="s">
        <v>276</v>
      </c>
      <c r="D197" s="32" t="s">
        <v>277</v>
      </c>
      <c r="E197" s="32" t="s">
        <v>278</v>
      </c>
      <c r="F197" s="73"/>
      <c r="G197" s="73">
        <v>1</v>
      </c>
      <c r="H197" s="73"/>
      <c r="I197" s="73"/>
      <c r="J197" s="73"/>
      <c r="K197" s="73">
        <v>1</v>
      </c>
      <c r="L197" s="22" t="s">
        <v>366</v>
      </c>
      <c r="M197" s="8"/>
      <c r="N197" s="8"/>
    </row>
    <row r="198" spans="1:14" ht="18.899999999999999" customHeight="1" x14ac:dyDescent="0.3">
      <c r="A198"/>
      <c r="B198" s="34"/>
      <c r="C198" s="58" t="s">
        <v>279</v>
      </c>
      <c r="D198" s="32" t="s">
        <v>280</v>
      </c>
      <c r="E198" s="32" t="s">
        <v>278</v>
      </c>
      <c r="F198" s="73"/>
      <c r="G198" s="73">
        <v>1</v>
      </c>
      <c r="H198" s="73"/>
      <c r="I198" s="73"/>
      <c r="J198" s="73"/>
      <c r="K198" s="73">
        <v>1</v>
      </c>
      <c r="L198" s="22" t="s">
        <v>366</v>
      </c>
      <c r="M198" s="8"/>
      <c r="N198" s="8"/>
    </row>
    <row r="199" spans="1:14" ht="33.9" customHeight="1" x14ac:dyDescent="0.3">
      <c r="A199"/>
      <c r="B199" s="34"/>
      <c r="C199" s="58" t="s">
        <v>281</v>
      </c>
      <c r="D199" s="32" t="s">
        <v>282</v>
      </c>
      <c r="E199" s="32" t="s">
        <v>283</v>
      </c>
      <c r="F199" s="73"/>
      <c r="G199" s="73">
        <v>1</v>
      </c>
      <c r="H199" s="73"/>
      <c r="I199" s="73"/>
      <c r="J199" s="73"/>
      <c r="K199" s="73">
        <v>1</v>
      </c>
      <c r="L199" s="22" t="s">
        <v>366</v>
      </c>
      <c r="M199" s="8"/>
      <c r="N199" s="8"/>
    </row>
    <row r="200" spans="1:14" ht="18.899999999999999" customHeight="1" x14ac:dyDescent="0.3">
      <c r="A200"/>
      <c r="B200" s="34"/>
      <c r="C200" s="58" t="s">
        <v>284</v>
      </c>
      <c r="D200" s="32" t="s">
        <v>285</v>
      </c>
      <c r="E200" s="32" t="s">
        <v>286</v>
      </c>
      <c r="F200" s="73"/>
      <c r="G200" s="73">
        <v>1</v>
      </c>
      <c r="H200" s="73"/>
      <c r="I200" s="73"/>
      <c r="J200" s="73"/>
      <c r="K200" s="73">
        <v>1</v>
      </c>
      <c r="L200" s="22" t="s">
        <v>366</v>
      </c>
      <c r="M200" s="8"/>
      <c r="N200" s="8"/>
    </row>
    <row r="201" spans="1:14" ht="21.9" customHeight="1" thickBot="1" x14ac:dyDescent="0.35">
      <c r="A201"/>
      <c r="B201" s="34"/>
      <c r="C201" s="23"/>
      <c r="D201" s="41"/>
      <c r="E201" s="31"/>
      <c r="F201" s="75"/>
      <c r="G201" s="75"/>
      <c r="H201" s="75"/>
      <c r="I201" s="75"/>
      <c r="J201" s="75"/>
      <c r="K201" s="75"/>
      <c r="L201" s="24"/>
      <c r="M201" s="8"/>
      <c r="N201" s="8"/>
    </row>
    <row r="202" spans="1:14" ht="20.100000000000001" customHeight="1" x14ac:dyDescent="0.3">
      <c r="A202"/>
      <c r="B202" s="8"/>
      <c r="C202" s="8"/>
      <c r="D202" s="38"/>
      <c r="E202" s="10"/>
      <c r="F202" s="70">
        <f t="shared" ref="F202:K202" si="18">SUM(F194:F201)</f>
        <v>0</v>
      </c>
      <c r="G202" s="70">
        <f t="shared" si="18"/>
        <v>7</v>
      </c>
      <c r="H202" s="70">
        <f t="shared" si="18"/>
        <v>0</v>
      </c>
      <c r="I202" s="70">
        <f t="shared" si="18"/>
        <v>0</v>
      </c>
      <c r="J202" s="70">
        <f t="shared" si="18"/>
        <v>0</v>
      </c>
      <c r="K202" s="70">
        <f t="shared" si="18"/>
        <v>7</v>
      </c>
      <c r="L202" s="8"/>
      <c r="M202" s="8"/>
      <c r="N202" s="8"/>
    </row>
    <row r="203" spans="1:14" ht="20.100000000000001" customHeight="1" thickBot="1" x14ac:dyDescent="0.35">
      <c r="A203"/>
      <c r="B203" s="52"/>
      <c r="C203" s="152" t="s">
        <v>287</v>
      </c>
      <c r="D203" s="53"/>
      <c r="E203" s="35"/>
      <c r="F203" s="70"/>
      <c r="G203" s="70"/>
      <c r="H203" s="70"/>
      <c r="I203" s="70"/>
      <c r="J203" s="70"/>
      <c r="K203" s="70"/>
      <c r="L203" s="2"/>
      <c r="M203" s="8"/>
      <c r="N203" s="8"/>
    </row>
    <row r="204" spans="1:14" ht="20.100000000000001" customHeight="1" x14ac:dyDescent="0.3">
      <c r="A204"/>
      <c r="B204" s="67"/>
      <c r="C204" s="18" t="s">
        <v>14</v>
      </c>
      <c r="D204" s="40" t="s">
        <v>15</v>
      </c>
      <c r="E204" s="19" t="s">
        <v>16</v>
      </c>
      <c r="F204" s="20" t="s">
        <v>17</v>
      </c>
      <c r="G204" s="20" t="s">
        <v>18</v>
      </c>
      <c r="H204" s="20" t="s">
        <v>19</v>
      </c>
      <c r="I204" s="20" t="s">
        <v>20</v>
      </c>
      <c r="J204" s="20" t="s">
        <v>21</v>
      </c>
      <c r="K204" s="137" t="s">
        <v>22</v>
      </c>
      <c r="L204" s="21" t="s">
        <v>23</v>
      </c>
      <c r="M204" s="8"/>
      <c r="N204" s="8"/>
    </row>
    <row r="205" spans="1:14" ht="208.8" x14ac:dyDescent="0.3">
      <c r="A205"/>
      <c r="B205" s="34"/>
      <c r="C205" s="58" t="s">
        <v>288</v>
      </c>
      <c r="D205" s="32"/>
      <c r="E205" s="32"/>
      <c r="F205" s="73"/>
      <c r="G205" s="73">
        <v>1</v>
      </c>
      <c r="H205" s="73"/>
      <c r="I205" s="73"/>
      <c r="J205" s="73"/>
      <c r="K205" s="73">
        <v>1</v>
      </c>
      <c r="L205" s="180" t="s">
        <v>373</v>
      </c>
      <c r="M205" s="8"/>
      <c r="N205" s="8"/>
    </row>
    <row r="206" spans="1:14" ht="18.899999999999999" customHeight="1" x14ac:dyDescent="0.3">
      <c r="A206"/>
      <c r="B206" s="34"/>
      <c r="C206" s="58" t="s">
        <v>289</v>
      </c>
      <c r="D206" s="32"/>
      <c r="E206" s="32"/>
      <c r="F206" s="73"/>
      <c r="G206" s="73">
        <v>1</v>
      </c>
      <c r="H206" s="73"/>
      <c r="I206" s="73"/>
      <c r="J206" s="73"/>
      <c r="K206" s="73">
        <v>1</v>
      </c>
      <c r="L206" s="22" t="s">
        <v>366</v>
      </c>
      <c r="M206" s="8"/>
      <c r="N206" s="8"/>
    </row>
    <row r="207" spans="1:14" ht="18.899999999999999" customHeight="1" x14ac:dyDescent="0.3">
      <c r="A207"/>
      <c r="B207" s="34"/>
      <c r="C207" s="58" t="s">
        <v>290</v>
      </c>
      <c r="D207" s="32"/>
      <c r="E207" s="32"/>
      <c r="F207" s="73"/>
      <c r="G207" s="73">
        <v>1</v>
      </c>
      <c r="H207" s="73"/>
      <c r="I207" s="73"/>
      <c r="J207" s="73"/>
      <c r="K207" s="73">
        <v>1</v>
      </c>
      <c r="L207" s="22" t="s">
        <v>366</v>
      </c>
      <c r="M207" s="8"/>
      <c r="N207" s="8"/>
    </row>
    <row r="208" spans="1:14" ht="18.899999999999999" customHeight="1" thickBot="1" x14ac:dyDescent="0.35">
      <c r="A208"/>
      <c r="B208" s="34"/>
      <c r="C208" s="23"/>
      <c r="D208" s="41"/>
      <c r="E208" s="31"/>
      <c r="F208" s="75"/>
      <c r="G208" s="75"/>
      <c r="H208" s="75"/>
      <c r="I208" s="75"/>
      <c r="J208" s="75"/>
      <c r="K208" s="75"/>
      <c r="L208" s="24" t="s">
        <v>4</v>
      </c>
      <c r="M208" s="8"/>
      <c r="N208" s="8"/>
    </row>
    <row r="209" spans="1:14" ht="20.100000000000001" customHeight="1" x14ac:dyDescent="0.3">
      <c r="A209"/>
      <c r="B209" s="8"/>
      <c r="C209" s="8"/>
      <c r="D209" s="38"/>
      <c r="E209" s="10"/>
      <c r="F209" s="70">
        <f t="shared" ref="F209:K209" si="19">SUM(F205:F208)</f>
        <v>0</v>
      </c>
      <c r="G209" s="70">
        <f t="shared" si="19"/>
        <v>3</v>
      </c>
      <c r="H209" s="70">
        <f t="shared" si="19"/>
        <v>0</v>
      </c>
      <c r="I209" s="70">
        <f t="shared" si="19"/>
        <v>0</v>
      </c>
      <c r="J209" s="70">
        <f t="shared" si="19"/>
        <v>0</v>
      </c>
      <c r="K209" s="70">
        <f t="shared" si="19"/>
        <v>3</v>
      </c>
      <c r="L209" s="8"/>
      <c r="M209" s="8"/>
      <c r="N209" s="8"/>
    </row>
    <row r="210" spans="1:14" ht="20.100000000000001" customHeight="1" thickBot="1" x14ac:dyDescent="0.35">
      <c r="A210"/>
      <c r="B210" s="52"/>
      <c r="C210" s="152" t="s">
        <v>291</v>
      </c>
      <c r="D210" s="53"/>
      <c r="E210" s="35"/>
      <c r="F210" s="70"/>
      <c r="G210" s="70"/>
      <c r="H210" s="70"/>
      <c r="I210" s="70"/>
      <c r="J210" s="70"/>
      <c r="K210" s="70"/>
      <c r="L210" s="2"/>
      <c r="M210" s="8"/>
      <c r="N210" s="8"/>
    </row>
    <row r="211" spans="1:14" ht="20.100000000000001" customHeight="1" x14ac:dyDescent="0.3">
      <c r="A211"/>
      <c r="B211" s="67"/>
      <c r="C211" s="18" t="s">
        <v>14</v>
      </c>
      <c r="D211" s="40" t="s">
        <v>15</v>
      </c>
      <c r="E211" s="19" t="s">
        <v>16</v>
      </c>
      <c r="F211" s="20" t="s">
        <v>17</v>
      </c>
      <c r="G211" s="20" t="s">
        <v>18</v>
      </c>
      <c r="H211" s="20" t="s">
        <v>19</v>
      </c>
      <c r="I211" s="20" t="s">
        <v>20</v>
      </c>
      <c r="J211" s="20" t="s">
        <v>21</v>
      </c>
      <c r="K211" s="137" t="s">
        <v>22</v>
      </c>
      <c r="L211" s="21" t="s">
        <v>23</v>
      </c>
      <c r="M211" s="8"/>
      <c r="N211" s="8"/>
    </row>
    <row r="212" spans="1:14" ht="18.899999999999999" customHeight="1" x14ac:dyDescent="0.3">
      <c r="A212"/>
      <c r="B212" s="34"/>
      <c r="C212" s="58" t="s">
        <v>292</v>
      </c>
      <c r="D212" s="32"/>
      <c r="E212" s="32"/>
      <c r="F212" s="73"/>
      <c r="G212" s="73"/>
      <c r="H212" s="73"/>
      <c r="I212" s="73"/>
      <c r="J212" s="73"/>
      <c r="K212" s="73"/>
      <c r="L212" s="22"/>
      <c r="M212" s="8"/>
      <c r="N212" s="8"/>
    </row>
    <row r="213" spans="1:14" ht="18.899999999999999" customHeight="1" thickBot="1" x14ac:dyDescent="0.35">
      <c r="A213"/>
      <c r="B213" s="34"/>
      <c r="C213" s="49"/>
      <c r="D213" s="41"/>
      <c r="E213" s="31"/>
      <c r="F213" s="75"/>
      <c r="G213" s="75"/>
      <c r="H213" s="75"/>
      <c r="I213" s="75"/>
      <c r="J213" s="75"/>
      <c r="K213" s="75"/>
      <c r="L213" s="24"/>
      <c r="M213" s="8"/>
      <c r="N213" s="8"/>
    </row>
    <row r="214" spans="1:14" ht="20.100000000000001" customHeight="1" x14ac:dyDescent="0.3">
      <c r="A214"/>
      <c r="B214" s="8"/>
      <c r="C214" s="8"/>
      <c r="D214" s="38"/>
      <c r="E214" s="10"/>
      <c r="F214" s="70">
        <f t="shared" ref="F214:K214" si="20">SUM(F212:F213)</f>
        <v>0</v>
      </c>
      <c r="G214" s="70">
        <f t="shared" si="20"/>
        <v>0</v>
      </c>
      <c r="H214" s="70">
        <f t="shared" si="20"/>
        <v>0</v>
      </c>
      <c r="I214" s="70">
        <f t="shared" si="20"/>
        <v>0</v>
      </c>
      <c r="J214" s="70">
        <f t="shared" si="20"/>
        <v>0</v>
      </c>
      <c r="K214" s="70">
        <f t="shared" si="20"/>
        <v>0</v>
      </c>
      <c r="L214" s="8"/>
      <c r="M214" s="8"/>
      <c r="N214" s="8"/>
    </row>
    <row r="215" spans="1:14" ht="20.100000000000001" customHeight="1" thickBot="1" x14ac:dyDescent="0.35">
      <c r="A215"/>
      <c r="B215" s="52"/>
      <c r="C215" s="152" t="s">
        <v>293</v>
      </c>
      <c r="D215" s="53"/>
      <c r="E215" s="35"/>
      <c r="F215" s="70"/>
      <c r="G215" s="70"/>
      <c r="H215" s="70"/>
      <c r="I215" s="70"/>
      <c r="J215" s="70"/>
      <c r="K215" s="70"/>
      <c r="L215" s="2"/>
      <c r="M215" s="8"/>
      <c r="N215" s="8"/>
    </row>
    <row r="216" spans="1:14" ht="20.100000000000001" customHeight="1" x14ac:dyDescent="0.3">
      <c r="A216"/>
      <c r="B216" s="67"/>
      <c r="C216" s="18" t="s">
        <v>14</v>
      </c>
      <c r="D216" s="40" t="s">
        <v>15</v>
      </c>
      <c r="E216" s="19" t="s">
        <v>16</v>
      </c>
      <c r="F216" s="20" t="s">
        <v>17</v>
      </c>
      <c r="G216" s="20" t="s">
        <v>18</v>
      </c>
      <c r="H216" s="20" t="s">
        <v>19</v>
      </c>
      <c r="I216" s="20" t="s">
        <v>20</v>
      </c>
      <c r="J216" s="20" t="s">
        <v>21</v>
      </c>
      <c r="K216" s="137" t="s">
        <v>22</v>
      </c>
      <c r="L216" s="21" t="s">
        <v>23</v>
      </c>
      <c r="M216" s="8"/>
      <c r="N216" s="8"/>
    </row>
    <row r="217" spans="1:14" ht="18.899999999999999" customHeight="1" x14ac:dyDescent="0.3">
      <c r="A217"/>
      <c r="B217" s="34"/>
      <c r="C217" s="58" t="s">
        <v>292</v>
      </c>
      <c r="D217" s="32"/>
      <c r="E217" s="32"/>
      <c r="F217" s="73"/>
      <c r="G217" s="73"/>
      <c r="H217" s="73"/>
      <c r="I217" s="73"/>
      <c r="J217" s="73"/>
      <c r="K217" s="73"/>
      <c r="L217" s="22"/>
      <c r="M217" s="8"/>
      <c r="N217" s="8"/>
    </row>
    <row r="218" spans="1:14" ht="18.899999999999999" customHeight="1" x14ac:dyDescent="0.3">
      <c r="A218"/>
      <c r="B218" s="34"/>
      <c r="C218" s="58"/>
      <c r="D218" s="32"/>
      <c r="E218" s="32"/>
      <c r="F218" s="73"/>
      <c r="G218" s="73"/>
      <c r="H218" s="73"/>
      <c r="I218" s="73"/>
      <c r="J218" s="73"/>
      <c r="K218" s="73"/>
      <c r="L218" s="22"/>
      <c r="M218" s="8"/>
      <c r="N218" s="8"/>
    </row>
    <row r="219" spans="1:14" ht="18.899999999999999" customHeight="1" thickBot="1" x14ac:dyDescent="0.35">
      <c r="A219"/>
      <c r="B219" s="34"/>
      <c r="C219" s="23"/>
      <c r="D219" s="41"/>
      <c r="E219" s="31"/>
      <c r="F219" s="75"/>
      <c r="G219" s="75"/>
      <c r="H219" s="75"/>
      <c r="I219" s="75"/>
      <c r="J219" s="75"/>
      <c r="K219" s="75"/>
      <c r="L219" s="24"/>
      <c r="M219" s="8"/>
      <c r="N219" s="8"/>
    </row>
    <row r="220" spans="1:14" ht="20.100000000000001" customHeight="1" x14ac:dyDescent="0.3">
      <c r="A220"/>
      <c r="B220" s="8"/>
      <c r="C220" s="8"/>
      <c r="D220" s="38"/>
      <c r="E220" s="10"/>
      <c r="F220" s="70">
        <f t="shared" ref="F220:K220" si="21">SUM(F217:F219)</f>
        <v>0</v>
      </c>
      <c r="G220" s="70">
        <f t="shared" si="21"/>
        <v>0</v>
      </c>
      <c r="H220" s="70">
        <f t="shared" si="21"/>
        <v>0</v>
      </c>
      <c r="I220" s="70">
        <f t="shared" si="21"/>
        <v>0</v>
      </c>
      <c r="J220" s="70">
        <f t="shared" si="21"/>
        <v>0</v>
      </c>
      <c r="K220" s="70">
        <f t="shared" si="21"/>
        <v>0</v>
      </c>
      <c r="L220" s="8"/>
      <c r="M220" s="8"/>
      <c r="N220" s="8"/>
    </row>
    <row r="221" spans="1:14" ht="20.100000000000001" customHeight="1" thickBot="1" x14ac:dyDescent="0.35">
      <c r="A221"/>
      <c r="B221" s="52"/>
      <c r="C221" s="166" t="s">
        <v>294</v>
      </c>
      <c r="D221" s="167"/>
      <c r="E221" s="35"/>
      <c r="F221" s="70"/>
      <c r="G221" s="70"/>
      <c r="H221" s="70"/>
      <c r="I221" s="70"/>
      <c r="J221" s="70"/>
      <c r="K221" s="70"/>
      <c r="L221" s="2"/>
      <c r="M221" s="8"/>
      <c r="N221" s="8"/>
    </row>
    <row r="222" spans="1:14" ht="20.100000000000001" customHeight="1" x14ac:dyDescent="0.3">
      <c r="A222"/>
      <c r="B222" s="67"/>
      <c r="C222" s="18" t="s">
        <v>14</v>
      </c>
      <c r="D222" s="40" t="s">
        <v>15</v>
      </c>
      <c r="E222" s="19" t="s">
        <v>16</v>
      </c>
      <c r="F222" s="20" t="s">
        <v>17</v>
      </c>
      <c r="G222" s="20" t="s">
        <v>18</v>
      </c>
      <c r="H222" s="20" t="s">
        <v>19</v>
      </c>
      <c r="I222" s="20" t="s">
        <v>20</v>
      </c>
      <c r="J222" s="20" t="s">
        <v>21</v>
      </c>
      <c r="K222" s="137" t="s">
        <v>22</v>
      </c>
      <c r="L222" s="21" t="s">
        <v>23</v>
      </c>
      <c r="M222" s="8"/>
      <c r="N222" s="8"/>
    </row>
    <row r="223" spans="1:14" ht="208.8" x14ac:dyDescent="0.3">
      <c r="A223"/>
      <c r="B223" s="34"/>
      <c r="C223" s="59" t="s">
        <v>295</v>
      </c>
      <c r="D223" s="32" t="s">
        <v>296</v>
      </c>
      <c r="E223" s="32" t="s">
        <v>297</v>
      </c>
      <c r="F223" s="73"/>
      <c r="G223" s="73">
        <v>1</v>
      </c>
      <c r="H223" s="73"/>
      <c r="I223" s="73"/>
      <c r="J223" s="73"/>
      <c r="K223" s="73">
        <v>1</v>
      </c>
      <c r="L223" s="180" t="s">
        <v>373</v>
      </c>
      <c r="M223" s="8"/>
      <c r="N223" s="8"/>
    </row>
    <row r="224" spans="1:14" ht="33.9" customHeight="1" x14ac:dyDescent="0.3">
      <c r="A224"/>
      <c r="B224" s="34"/>
      <c r="C224" s="58" t="s">
        <v>298</v>
      </c>
      <c r="D224" s="121" t="s">
        <v>299</v>
      </c>
      <c r="E224" s="32" t="s">
        <v>300</v>
      </c>
      <c r="F224" s="73"/>
      <c r="G224" s="73">
        <v>1</v>
      </c>
      <c r="H224" s="73"/>
      <c r="I224" s="73"/>
      <c r="J224" s="73"/>
      <c r="K224" s="73">
        <v>1</v>
      </c>
      <c r="L224" s="92" t="s">
        <v>372</v>
      </c>
      <c r="M224" s="8"/>
      <c r="N224" s="8"/>
    </row>
    <row r="225" spans="1:14" ht="33.9" customHeight="1" thickBot="1" x14ac:dyDescent="0.35">
      <c r="A225"/>
      <c r="B225" s="34"/>
      <c r="C225" s="49" t="s">
        <v>301</v>
      </c>
      <c r="D225" s="102" t="s">
        <v>302</v>
      </c>
      <c r="E225" s="50" t="s">
        <v>303</v>
      </c>
      <c r="F225" s="75"/>
      <c r="G225" s="75">
        <v>1</v>
      </c>
      <c r="H225" s="75"/>
      <c r="I225" s="75"/>
      <c r="J225" s="75"/>
      <c r="K225" s="75">
        <v>1</v>
      </c>
      <c r="L225" s="24" t="s">
        <v>372</v>
      </c>
      <c r="M225" s="8"/>
      <c r="N225" s="8"/>
    </row>
    <row r="226" spans="1:14" ht="20.100000000000001" customHeight="1" x14ac:dyDescent="0.3">
      <c r="A226"/>
      <c r="B226" s="8"/>
      <c r="C226" s="8"/>
      <c r="D226" s="38"/>
      <c r="E226" s="10"/>
      <c r="F226" s="70">
        <f t="shared" ref="F226:K226" si="22">SUM(F223:F224)</f>
        <v>0</v>
      </c>
      <c r="G226" s="70">
        <f t="shared" si="22"/>
        <v>2</v>
      </c>
      <c r="H226" s="70">
        <f t="shared" si="22"/>
        <v>0</v>
      </c>
      <c r="I226" s="70">
        <f t="shared" si="22"/>
        <v>0</v>
      </c>
      <c r="J226" s="70">
        <f t="shared" si="22"/>
        <v>0</v>
      </c>
      <c r="K226" s="70">
        <f t="shared" si="22"/>
        <v>2</v>
      </c>
      <c r="L226" s="8"/>
      <c r="M226" s="8"/>
      <c r="N226" s="8"/>
    </row>
    <row r="227" spans="1:14" ht="20.100000000000001" customHeight="1" thickBot="1" x14ac:dyDescent="0.35">
      <c r="A227"/>
      <c r="B227" s="52"/>
      <c r="C227" s="166" t="s">
        <v>304</v>
      </c>
      <c r="D227" s="167"/>
      <c r="E227" s="35"/>
      <c r="F227" s="70"/>
      <c r="G227" s="70"/>
      <c r="H227" s="70"/>
      <c r="I227" s="70"/>
      <c r="J227" s="70"/>
      <c r="K227" s="70"/>
      <c r="L227" s="2"/>
      <c r="M227" s="8"/>
      <c r="N227" s="8"/>
    </row>
    <row r="228" spans="1:14" ht="20.100000000000001" customHeight="1" x14ac:dyDescent="0.3">
      <c r="A228"/>
      <c r="B228" s="67"/>
      <c r="C228" s="18" t="s">
        <v>14</v>
      </c>
      <c r="D228" s="40" t="s">
        <v>15</v>
      </c>
      <c r="E228" s="19" t="s">
        <v>16</v>
      </c>
      <c r="F228" s="20" t="s">
        <v>17</v>
      </c>
      <c r="G228" s="20" t="s">
        <v>18</v>
      </c>
      <c r="H228" s="20" t="s">
        <v>19</v>
      </c>
      <c r="I228" s="20" t="s">
        <v>20</v>
      </c>
      <c r="J228" s="20" t="s">
        <v>21</v>
      </c>
      <c r="K228" s="137" t="s">
        <v>22</v>
      </c>
      <c r="L228" s="21" t="s">
        <v>23</v>
      </c>
      <c r="M228" s="8"/>
      <c r="N228" s="8"/>
    </row>
    <row r="229" spans="1:14" ht="208.8" x14ac:dyDescent="0.3">
      <c r="A229"/>
      <c r="B229" s="34"/>
      <c r="C229" s="58" t="s">
        <v>305</v>
      </c>
      <c r="D229" s="32" t="s">
        <v>306</v>
      </c>
      <c r="E229" s="32" t="s">
        <v>307</v>
      </c>
      <c r="F229" s="73"/>
      <c r="G229" s="73">
        <v>1</v>
      </c>
      <c r="H229" s="73"/>
      <c r="I229" s="73"/>
      <c r="J229" s="73"/>
      <c r="K229" s="73">
        <v>1</v>
      </c>
      <c r="L229" s="180" t="s">
        <v>373</v>
      </c>
      <c r="M229" s="8"/>
      <c r="N229" s="8"/>
    </row>
    <row r="230" spans="1:14" ht="33.9" customHeight="1" x14ac:dyDescent="0.3">
      <c r="A230"/>
      <c r="B230" s="34"/>
      <c r="C230" s="58" t="s">
        <v>308</v>
      </c>
      <c r="D230" s="32" t="s">
        <v>309</v>
      </c>
      <c r="E230" s="32" t="s">
        <v>307</v>
      </c>
      <c r="F230" s="73"/>
      <c r="G230" s="73">
        <v>1</v>
      </c>
      <c r="H230" s="73"/>
      <c r="I230" s="73"/>
      <c r="J230" s="73"/>
      <c r="K230" s="73">
        <v>1</v>
      </c>
      <c r="L230" s="22" t="s">
        <v>372</v>
      </c>
      <c r="M230" s="8"/>
      <c r="N230" s="8"/>
    </row>
    <row r="231" spans="1:14" ht="57" customHeight="1" x14ac:dyDescent="0.3">
      <c r="A231"/>
      <c r="B231" s="34"/>
      <c r="C231" s="58" t="s">
        <v>94</v>
      </c>
      <c r="D231" s="32" t="s">
        <v>310</v>
      </c>
      <c r="E231" s="32" t="s">
        <v>311</v>
      </c>
      <c r="F231" s="73"/>
      <c r="G231" s="73">
        <v>1</v>
      </c>
      <c r="H231" s="73"/>
      <c r="I231" s="73"/>
      <c r="J231" s="73"/>
      <c r="K231" s="73">
        <v>1</v>
      </c>
      <c r="L231" s="22" t="s">
        <v>372</v>
      </c>
      <c r="M231" s="8"/>
      <c r="N231" s="8"/>
    </row>
    <row r="232" spans="1:14" ht="18.899999999999999" customHeight="1" x14ac:dyDescent="0.3">
      <c r="A232"/>
      <c r="B232" s="34"/>
      <c r="C232" s="58" t="s">
        <v>312</v>
      </c>
      <c r="D232" s="32" t="s">
        <v>313</v>
      </c>
      <c r="E232" s="32"/>
      <c r="F232" s="73"/>
      <c r="G232" s="73">
        <v>1</v>
      </c>
      <c r="H232" s="73"/>
      <c r="I232" s="73"/>
      <c r="J232" s="73"/>
      <c r="K232" s="73">
        <v>1</v>
      </c>
      <c r="L232" s="22" t="s">
        <v>372</v>
      </c>
      <c r="M232" s="8"/>
      <c r="N232" s="8"/>
    </row>
    <row r="233" spans="1:14" ht="18.899999999999999" customHeight="1" x14ac:dyDescent="0.3">
      <c r="A233"/>
      <c r="B233" s="34"/>
      <c r="C233" s="100" t="s">
        <v>314</v>
      </c>
      <c r="D233" s="32" t="s">
        <v>196</v>
      </c>
      <c r="E233" s="32" t="s">
        <v>197</v>
      </c>
      <c r="F233" s="73"/>
      <c r="G233" s="73">
        <v>1</v>
      </c>
      <c r="H233" s="73"/>
      <c r="I233" s="73"/>
      <c r="J233" s="73"/>
      <c r="K233" s="73">
        <v>1</v>
      </c>
      <c r="L233" s="22" t="s">
        <v>372</v>
      </c>
      <c r="M233" s="8"/>
      <c r="N233" s="8"/>
    </row>
    <row r="234" spans="1:14" ht="18.899999999999999" customHeight="1" thickBot="1" x14ac:dyDescent="0.35">
      <c r="A234"/>
      <c r="B234" s="34"/>
      <c r="C234" s="110" t="s">
        <v>4</v>
      </c>
      <c r="D234" s="41" t="s">
        <v>4</v>
      </c>
      <c r="E234" s="31"/>
      <c r="F234" s="75"/>
      <c r="G234" s="75"/>
      <c r="H234" s="75"/>
      <c r="I234" s="75"/>
      <c r="J234" s="75"/>
      <c r="K234" s="75"/>
      <c r="L234" s="24"/>
      <c r="M234" s="8"/>
      <c r="N234" s="8"/>
    </row>
    <row r="235" spans="1:14" ht="20.100000000000001" customHeight="1" x14ac:dyDescent="0.3">
      <c r="A235"/>
      <c r="B235" s="8"/>
      <c r="C235" s="8"/>
      <c r="D235" s="38"/>
      <c r="E235" s="10"/>
      <c r="F235" s="70">
        <f t="shared" ref="F235:K235" si="23">SUM(F229:F234)</f>
        <v>0</v>
      </c>
      <c r="G235" s="70">
        <f t="shared" si="23"/>
        <v>5</v>
      </c>
      <c r="H235" s="70">
        <f t="shared" si="23"/>
        <v>0</v>
      </c>
      <c r="I235" s="70">
        <f t="shared" si="23"/>
        <v>0</v>
      </c>
      <c r="J235" s="70">
        <f t="shared" si="23"/>
        <v>0</v>
      </c>
      <c r="K235" s="70">
        <f t="shared" si="23"/>
        <v>5</v>
      </c>
      <c r="L235" s="8"/>
      <c r="M235" s="8"/>
      <c r="N235" s="8"/>
    </row>
    <row r="236" spans="1:14" ht="20.100000000000001" customHeight="1" thickBot="1" x14ac:dyDescent="0.35">
      <c r="A236"/>
      <c r="B236" s="52"/>
      <c r="C236" s="169" t="s">
        <v>315</v>
      </c>
      <c r="D236" s="170"/>
      <c r="E236" s="35"/>
      <c r="F236" s="70"/>
      <c r="G236" s="70"/>
      <c r="H236" s="70"/>
      <c r="I236" s="70"/>
      <c r="J236" s="70"/>
      <c r="K236" s="70"/>
      <c r="L236" s="2"/>
      <c r="M236" s="8"/>
      <c r="N236" s="8"/>
    </row>
    <row r="237" spans="1:14" ht="20.100000000000001" customHeight="1" x14ac:dyDescent="0.3">
      <c r="A237"/>
      <c r="B237" s="67"/>
      <c r="C237" s="18" t="s">
        <v>14</v>
      </c>
      <c r="D237" s="40" t="s">
        <v>15</v>
      </c>
      <c r="E237" s="19" t="s">
        <v>16</v>
      </c>
      <c r="F237" s="20" t="s">
        <v>17</v>
      </c>
      <c r="G237" s="20" t="s">
        <v>18</v>
      </c>
      <c r="H237" s="20" t="s">
        <v>19</v>
      </c>
      <c r="I237" s="20" t="s">
        <v>20</v>
      </c>
      <c r="J237" s="20" t="s">
        <v>21</v>
      </c>
      <c r="K237" s="137" t="s">
        <v>22</v>
      </c>
      <c r="L237" s="21" t="s">
        <v>23</v>
      </c>
      <c r="M237" s="8"/>
      <c r="N237" s="8"/>
    </row>
    <row r="238" spans="1:14" ht="208.8" x14ac:dyDescent="0.3">
      <c r="A238"/>
      <c r="B238" s="34"/>
      <c r="C238" s="59" t="s">
        <v>316</v>
      </c>
      <c r="D238" s="32" t="s">
        <v>317</v>
      </c>
      <c r="E238" s="32"/>
      <c r="F238" s="73"/>
      <c r="G238" s="73">
        <v>1</v>
      </c>
      <c r="H238" s="73"/>
      <c r="I238" s="73"/>
      <c r="J238" s="73"/>
      <c r="K238" s="73">
        <v>1</v>
      </c>
      <c r="L238" s="180" t="s">
        <v>373</v>
      </c>
      <c r="M238" s="8"/>
      <c r="N238" s="8"/>
    </row>
    <row r="239" spans="1:14" ht="18.899999999999999" customHeight="1" x14ac:dyDescent="0.3">
      <c r="A239"/>
      <c r="B239" s="34"/>
      <c r="C239" s="58" t="s">
        <v>318</v>
      </c>
      <c r="D239" s="32"/>
      <c r="E239" s="32"/>
      <c r="F239" s="73"/>
      <c r="G239" s="73">
        <v>1</v>
      </c>
      <c r="H239" s="73"/>
      <c r="I239" s="73"/>
      <c r="J239" s="73"/>
      <c r="K239" s="73">
        <v>1</v>
      </c>
      <c r="L239" s="22" t="s">
        <v>372</v>
      </c>
      <c r="M239" s="8"/>
      <c r="N239" s="8"/>
    </row>
    <row r="240" spans="1:14" ht="18.899999999999999" customHeight="1" thickBot="1" x14ac:dyDescent="0.35">
      <c r="A240"/>
      <c r="B240" s="34"/>
      <c r="C240" s="23"/>
      <c r="D240" s="41"/>
      <c r="E240" s="31"/>
      <c r="F240" s="75"/>
      <c r="G240" s="75"/>
      <c r="H240" s="75"/>
      <c r="I240" s="75"/>
      <c r="J240" s="75"/>
      <c r="K240" s="75"/>
      <c r="L240" s="24"/>
      <c r="M240" s="8"/>
      <c r="N240" s="8"/>
    </row>
    <row r="241" spans="1:14" ht="20.100000000000001" customHeight="1" x14ac:dyDescent="0.3">
      <c r="A241"/>
      <c r="B241" s="8"/>
      <c r="C241" s="8"/>
      <c r="D241" s="38"/>
      <c r="E241" s="10"/>
      <c r="F241" s="70">
        <f t="shared" ref="F241:K241" si="24">SUM(F238:F240)</f>
        <v>0</v>
      </c>
      <c r="G241" s="70">
        <f t="shared" si="24"/>
        <v>2</v>
      </c>
      <c r="H241" s="70">
        <f t="shared" si="24"/>
        <v>0</v>
      </c>
      <c r="I241" s="70">
        <f t="shared" si="24"/>
        <v>0</v>
      </c>
      <c r="J241" s="70">
        <f t="shared" si="24"/>
        <v>0</v>
      </c>
      <c r="K241" s="70">
        <f t="shared" si="24"/>
        <v>2</v>
      </c>
      <c r="L241" s="8"/>
      <c r="M241" s="8"/>
      <c r="N241" s="8"/>
    </row>
    <row r="242" spans="1:14" ht="20.100000000000001" customHeight="1" thickBot="1" x14ac:dyDescent="0.35">
      <c r="A242"/>
      <c r="B242" s="52"/>
      <c r="C242" s="169" t="s">
        <v>319</v>
      </c>
      <c r="D242" s="170"/>
      <c r="E242" s="35"/>
      <c r="F242" s="70"/>
      <c r="G242" s="70"/>
      <c r="H242" s="70"/>
      <c r="I242" s="70"/>
      <c r="J242" s="70"/>
      <c r="K242" s="70"/>
      <c r="L242" s="2"/>
      <c r="M242" s="8"/>
      <c r="N242" s="8"/>
    </row>
    <row r="243" spans="1:14" ht="20.100000000000001" customHeight="1" x14ac:dyDescent="0.3">
      <c r="A243"/>
      <c r="B243" s="67"/>
      <c r="C243" s="18" t="s">
        <v>14</v>
      </c>
      <c r="D243" s="40" t="s">
        <v>15</v>
      </c>
      <c r="E243" s="19" t="s">
        <v>16</v>
      </c>
      <c r="F243" s="20" t="s">
        <v>17</v>
      </c>
      <c r="G243" s="20" t="s">
        <v>18</v>
      </c>
      <c r="H243" s="20" t="s">
        <v>19</v>
      </c>
      <c r="I243" s="20" t="s">
        <v>20</v>
      </c>
      <c r="J243" s="20" t="s">
        <v>21</v>
      </c>
      <c r="K243" s="137" t="s">
        <v>22</v>
      </c>
      <c r="L243" s="21" t="s">
        <v>23</v>
      </c>
      <c r="M243" s="8"/>
      <c r="N243" s="8"/>
    </row>
    <row r="244" spans="1:14" ht="18.899999999999999" customHeight="1" x14ac:dyDescent="0.3">
      <c r="A244"/>
      <c r="B244" s="34"/>
      <c r="C244" s="59" t="s">
        <v>250</v>
      </c>
      <c r="D244" s="32"/>
      <c r="E244" s="32"/>
      <c r="F244" s="73"/>
      <c r="G244" s="73"/>
      <c r="H244" s="73"/>
      <c r="I244" s="73"/>
      <c r="J244" s="73"/>
      <c r="K244" s="73"/>
      <c r="L244" s="22"/>
      <c r="M244" s="8"/>
      <c r="N244" s="8"/>
    </row>
    <row r="245" spans="1:14" ht="18.899999999999999" customHeight="1" x14ac:dyDescent="0.3">
      <c r="A245"/>
      <c r="B245" s="34"/>
      <c r="C245" s="58"/>
      <c r="D245" s="32"/>
      <c r="E245" s="32"/>
      <c r="F245" s="73"/>
      <c r="G245" s="73"/>
      <c r="H245" s="73"/>
      <c r="I245" s="73"/>
      <c r="J245" s="73"/>
      <c r="K245" s="73"/>
      <c r="L245" s="22"/>
      <c r="M245" s="8"/>
      <c r="N245" s="8"/>
    </row>
    <row r="246" spans="1:14" ht="18.899999999999999" customHeight="1" thickBot="1" x14ac:dyDescent="0.35">
      <c r="A246"/>
      <c r="B246" s="34"/>
      <c r="C246" s="23"/>
      <c r="D246" s="41"/>
      <c r="E246" s="31"/>
      <c r="F246" s="75"/>
      <c r="G246" s="75"/>
      <c r="H246" s="75"/>
      <c r="I246" s="75"/>
      <c r="J246" s="75"/>
      <c r="K246" s="75"/>
      <c r="L246" s="24"/>
      <c r="M246" s="8"/>
      <c r="N246" s="8"/>
    </row>
    <row r="247" spans="1:14" ht="20.100000000000001" customHeight="1" x14ac:dyDescent="0.3">
      <c r="A247"/>
      <c r="B247" s="8"/>
      <c r="C247" s="8"/>
      <c r="D247" s="38"/>
      <c r="E247" s="10"/>
      <c r="F247" s="70">
        <f t="shared" ref="F247:K247" si="25">SUM(F244:F246)</f>
        <v>0</v>
      </c>
      <c r="G247" s="70">
        <f t="shared" si="25"/>
        <v>0</v>
      </c>
      <c r="H247" s="70">
        <f t="shared" si="25"/>
        <v>0</v>
      </c>
      <c r="I247" s="70">
        <f t="shared" si="25"/>
        <v>0</v>
      </c>
      <c r="J247" s="70">
        <f t="shared" si="25"/>
        <v>0</v>
      </c>
      <c r="K247" s="70">
        <f t="shared" si="25"/>
        <v>0</v>
      </c>
      <c r="L247" s="8"/>
      <c r="M247" s="8"/>
      <c r="N247" s="8"/>
    </row>
    <row r="248" spans="1:14" ht="20.100000000000001" customHeight="1" thickBot="1" x14ac:dyDescent="0.35">
      <c r="A248"/>
      <c r="B248" s="52"/>
      <c r="C248" s="169" t="s">
        <v>320</v>
      </c>
      <c r="D248" s="170"/>
      <c r="E248" s="35"/>
      <c r="F248" s="70"/>
      <c r="G248" s="70"/>
      <c r="H248" s="70"/>
      <c r="I248" s="70"/>
      <c r="J248" s="70"/>
      <c r="K248" s="70"/>
      <c r="L248" s="2"/>
      <c r="M248" s="8"/>
      <c r="N248" s="8"/>
    </row>
    <row r="249" spans="1:14" ht="20.100000000000001" customHeight="1" x14ac:dyDescent="0.3">
      <c r="A249"/>
      <c r="B249" s="67"/>
      <c r="C249" s="18" t="s">
        <v>14</v>
      </c>
      <c r="D249" s="40" t="s">
        <v>15</v>
      </c>
      <c r="E249" s="19" t="s">
        <v>16</v>
      </c>
      <c r="F249" s="20" t="s">
        <v>17</v>
      </c>
      <c r="G249" s="20" t="s">
        <v>18</v>
      </c>
      <c r="H249" s="20" t="s">
        <v>19</v>
      </c>
      <c r="I249" s="20" t="s">
        <v>20</v>
      </c>
      <c r="J249" s="20" t="s">
        <v>21</v>
      </c>
      <c r="K249" s="137" t="s">
        <v>22</v>
      </c>
      <c r="L249" s="21" t="s">
        <v>23</v>
      </c>
      <c r="M249" s="8"/>
      <c r="N249" s="8"/>
    </row>
    <row r="250" spans="1:14" ht="208.8" x14ac:dyDescent="0.3">
      <c r="A250"/>
      <c r="B250" s="34"/>
      <c r="C250" s="59" t="s">
        <v>316</v>
      </c>
      <c r="D250" s="32" t="s">
        <v>317</v>
      </c>
      <c r="E250" s="32"/>
      <c r="F250" s="73"/>
      <c r="G250" s="73">
        <v>1</v>
      </c>
      <c r="H250" s="73"/>
      <c r="I250" s="73"/>
      <c r="J250" s="73"/>
      <c r="K250" s="73">
        <v>1</v>
      </c>
      <c r="L250" s="180" t="s">
        <v>373</v>
      </c>
      <c r="M250" s="8"/>
      <c r="N250" s="8"/>
    </row>
    <row r="251" spans="1:14" ht="18.899999999999999" customHeight="1" x14ac:dyDescent="0.3">
      <c r="A251"/>
      <c r="B251" s="34"/>
      <c r="C251" s="58" t="s">
        <v>318</v>
      </c>
      <c r="D251" s="32"/>
      <c r="E251" s="32"/>
      <c r="F251" s="73"/>
      <c r="G251" s="73">
        <v>1</v>
      </c>
      <c r="H251" s="73"/>
      <c r="I251" s="73"/>
      <c r="J251" s="73"/>
      <c r="K251" s="73">
        <v>1</v>
      </c>
      <c r="L251" s="22" t="s">
        <v>366</v>
      </c>
      <c r="M251" s="8"/>
      <c r="N251" s="8"/>
    </row>
    <row r="252" spans="1:14" ht="18.899999999999999" customHeight="1" thickBot="1" x14ac:dyDescent="0.35">
      <c r="A252"/>
      <c r="B252" s="34"/>
      <c r="C252" s="23"/>
      <c r="D252" s="41"/>
      <c r="E252" s="31"/>
      <c r="F252" s="75"/>
      <c r="G252" s="75"/>
      <c r="H252" s="75"/>
      <c r="I252" s="75"/>
      <c r="J252" s="75"/>
      <c r="K252" s="75"/>
      <c r="L252" s="24"/>
      <c r="M252" s="8"/>
      <c r="N252" s="8"/>
    </row>
    <row r="253" spans="1:14" ht="20.100000000000001" customHeight="1" x14ac:dyDescent="0.3">
      <c r="A253"/>
      <c r="B253" s="8"/>
      <c r="C253" s="8"/>
      <c r="D253" s="38"/>
      <c r="E253" s="10"/>
      <c r="F253" s="70">
        <f t="shared" ref="F253:J253" si="26">SUM(F250:F252)</f>
        <v>0</v>
      </c>
      <c r="G253" s="70">
        <f t="shared" si="26"/>
        <v>2</v>
      </c>
      <c r="H253" s="70">
        <f t="shared" si="26"/>
        <v>0</v>
      </c>
      <c r="I253" s="70">
        <f t="shared" si="26"/>
        <v>0</v>
      </c>
      <c r="J253" s="70">
        <f t="shared" si="26"/>
        <v>0</v>
      </c>
      <c r="K253" s="70">
        <f>SUM(K250:K252)</f>
        <v>2</v>
      </c>
      <c r="L253" s="8"/>
      <c r="M253" s="8"/>
      <c r="N253" s="8"/>
    </row>
    <row r="254" spans="1:14" ht="20.100000000000001" customHeight="1" thickBot="1" x14ac:dyDescent="0.35">
      <c r="A254"/>
      <c r="B254" s="52"/>
      <c r="C254" s="152" t="s">
        <v>321</v>
      </c>
      <c r="D254" s="53"/>
      <c r="E254" s="35"/>
      <c r="F254" s="70"/>
      <c r="G254" s="70"/>
      <c r="H254" s="70"/>
      <c r="I254" s="70"/>
      <c r="J254" s="70"/>
      <c r="K254" s="70"/>
      <c r="L254" s="2"/>
      <c r="M254" s="8"/>
      <c r="N254" s="8"/>
    </row>
    <row r="255" spans="1:14" ht="20.100000000000001" customHeight="1" x14ac:dyDescent="0.3">
      <c r="A255"/>
      <c r="B255" s="67"/>
      <c r="C255" s="18" t="s">
        <v>14</v>
      </c>
      <c r="D255" s="40" t="s">
        <v>15</v>
      </c>
      <c r="E255" s="19" t="s">
        <v>16</v>
      </c>
      <c r="F255" s="20" t="s">
        <v>17</v>
      </c>
      <c r="G255" s="20" t="s">
        <v>18</v>
      </c>
      <c r="H255" s="20" t="s">
        <v>19</v>
      </c>
      <c r="I255" s="20" t="s">
        <v>20</v>
      </c>
      <c r="J255" s="20" t="s">
        <v>21</v>
      </c>
      <c r="K255" s="137" t="s">
        <v>22</v>
      </c>
      <c r="L255" s="21" t="s">
        <v>23</v>
      </c>
      <c r="M255" s="8"/>
      <c r="N255" s="8"/>
    </row>
    <row r="256" spans="1:14" ht="208.8" x14ac:dyDescent="0.3">
      <c r="A256"/>
      <c r="B256" s="34"/>
      <c r="C256" s="59" t="s">
        <v>322</v>
      </c>
      <c r="D256" s="32" t="s">
        <v>323</v>
      </c>
      <c r="E256" s="32" t="s">
        <v>324</v>
      </c>
      <c r="F256" s="73"/>
      <c r="G256" s="73">
        <v>1</v>
      </c>
      <c r="H256" s="73"/>
      <c r="I256" s="73"/>
      <c r="J256" s="73"/>
      <c r="K256" s="73">
        <v>1</v>
      </c>
      <c r="L256" s="180" t="s">
        <v>373</v>
      </c>
      <c r="M256" s="8"/>
      <c r="N256" s="8"/>
    </row>
    <row r="257" spans="1:14" ht="33.9" customHeight="1" x14ac:dyDescent="0.3">
      <c r="A257"/>
      <c r="B257" s="34"/>
      <c r="C257" s="59" t="s">
        <v>325</v>
      </c>
      <c r="D257" s="32" t="s">
        <v>326</v>
      </c>
      <c r="E257" s="32" t="s">
        <v>327</v>
      </c>
      <c r="F257" s="73"/>
      <c r="G257" s="73">
        <v>1</v>
      </c>
      <c r="H257" s="73"/>
      <c r="I257" s="73"/>
      <c r="J257" s="73"/>
      <c r="K257" s="73">
        <v>1</v>
      </c>
      <c r="L257" s="22" t="s">
        <v>366</v>
      </c>
      <c r="M257" s="8" t="s">
        <v>374</v>
      </c>
      <c r="N257" s="8"/>
    </row>
    <row r="258" spans="1:14" ht="33.9" customHeight="1" x14ac:dyDescent="0.3">
      <c r="A258"/>
      <c r="B258" s="34"/>
      <c r="C258" s="58" t="s">
        <v>328</v>
      </c>
      <c r="D258" s="32" t="s">
        <v>329</v>
      </c>
      <c r="E258" s="91" t="s">
        <v>330</v>
      </c>
      <c r="F258" s="73"/>
      <c r="G258" s="73">
        <v>1</v>
      </c>
      <c r="H258" s="73"/>
      <c r="I258" s="73"/>
      <c r="J258" s="73"/>
      <c r="K258" s="73">
        <v>1</v>
      </c>
      <c r="L258" s="92" t="s">
        <v>366</v>
      </c>
      <c r="M258" s="8"/>
      <c r="N258" s="8"/>
    </row>
    <row r="259" spans="1:14" ht="33.9" customHeight="1" x14ac:dyDescent="0.3">
      <c r="A259"/>
      <c r="B259" s="34"/>
      <c r="C259" s="58" t="s">
        <v>331</v>
      </c>
      <c r="D259" s="32" t="s">
        <v>332</v>
      </c>
      <c r="E259" s="90" t="s">
        <v>333</v>
      </c>
      <c r="F259" s="73"/>
      <c r="G259" s="73">
        <v>1</v>
      </c>
      <c r="H259" s="73"/>
      <c r="I259" s="73"/>
      <c r="J259" s="73"/>
      <c r="K259" s="73">
        <v>1</v>
      </c>
      <c r="L259" s="92" t="s">
        <v>366</v>
      </c>
      <c r="M259" s="8"/>
      <c r="N259" s="8"/>
    </row>
    <row r="260" spans="1:14" ht="18.899999999999999" customHeight="1" thickBot="1" x14ac:dyDescent="0.35">
      <c r="A260"/>
      <c r="B260" s="34"/>
      <c r="C260" s="65" t="s">
        <v>325</v>
      </c>
      <c r="D260" s="50" t="s">
        <v>326</v>
      </c>
      <c r="E260" s="50" t="s">
        <v>334</v>
      </c>
      <c r="F260" s="75"/>
      <c r="G260" s="75">
        <v>1</v>
      </c>
      <c r="H260" s="75"/>
      <c r="I260" s="75"/>
      <c r="J260" s="75"/>
      <c r="K260" s="75">
        <v>1</v>
      </c>
      <c r="L260" s="24" t="s">
        <v>366</v>
      </c>
      <c r="M260" s="8"/>
      <c r="N260" s="8"/>
    </row>
    <row r="261" spans="1:14" ht="18.899999999999999" customHeight="1" x14ac:dyDescent="0.3">
      <c r="A261"/>
      <c r="B261" s="34"/>
      <c r="C261" s="112"/>
      <c r="D261" s="112"/>
      <c r="E261" s="112"/>
      <c r="F261" s="70">
        <f>SUM(F256:F260)</f>
        <v>0</v>
      </c>
      <c r="G261" s="70">
        <f t="shared" ref="G261:J261" si="27">SUM(G256:G260)</f>
        <v>5</v>
      </c>
      <c r="H261" s="70">
        <f t="shared" si="27"/>
        <v>0</v>
      </c>
      <c r="I261" s="70">
        <f t="shared" si="27"/>
        <v>0</v>
      </c>
      <c r="J261" s="70">
        <f t="shared" si="27"/>
        <v>0</v>
      </c>
      <c r="K261" s="70">
        <f>SUM(K256:K260)</f>
        <v>5</v>
      </c>
      <c r="L261" s="8"/>
      <c r="M261" s="8"/>
      <c r="N261" s="8"/>
    </row>
    <row r="262" spans="1:14" ht="18.899999999999999" customHeight="1" x14ac:dyDescent="0.3">
      <c r="A262"/>
      <c r="B262" s="52"/>
      <c r="C262" s="171" t="s">
        <v>335</v>
      </c>
      <c r="D262" s="171"/>
      <c r="E262" s="35"/>
      <c r="F262" s="70"/>
      <c r="G262" s="70"/>
      <c r="H262" s="70"/>
      <c r="I262" s="70"/>
      <c r="J262" s="70"/>
      <c r="K262" s="70"/>
      <c r="L262" s="2"/>
      <c r="M262" s="8"/>
      <c r="N262" s="8"/>
    </row>
    <row r="263" spans="1:14" ht="18.899999999999999" customHeight="1" x14ac:dyDescent="0.3">
      <c r="A263"/>
      <c r="B263" s="67"/>
      <c r="C263" s="18" t="s">
        <v>14</v>
      </c>
      <c r="D263" s="40" t="s">
        <v>15</v>
      </c>
      <c r="E263" s="19" t="s">
        <v>16</v>
      </c>
      <c r="F263" s="20" t="s">
        <v>17</v>
      </c>
      <c r="G263" s="20" t="s">
        <v>18</v>
      </c>
      <c r="H263" s="20" t="s">
        <v>19</v>
      </c>
      <c r="I263" s="20" t="s">
        <v>20</v>
      </c>
      <c r="J263" s="20" t="s">
        <v>21</v>
      </c>
      <c r="K263" s="137" t="s">
        <v>22</v>
      </c>
      <c r="L263" s="21" t="s">
        <v>23</v>
      </c>
      <c r="M263" s="8"/>
      <c r="N263" s="8"/>
    </row>
    <row r="264" spans="1:14" ht="208.8" x14ac:dyDescent="0.3">
      <c r="A264"/>
      <c r="B264" s="34"/>
      <c r="C264" s="59" t="s">
        <v>336</v>
      </c>
      <c r="D264" s="32" t="s">
        <v>337</v>
      </c>
      <c r="E264" s="32" t="s">
        <v>338</v>
      </c>
      <c r="F264" s="73" t="s">
        <v>4</v>
      </c>
      <c r="G264" s="73">
        <v>1</v>
      </c>
      <c r="H264" s="73"/>
      <c r="I264" s="73"/>
      <c r="J264" s="73"/>
      <c r="K264" s="73">
        <v>1</v>
      </c>
      <c r="L264" s="180" t="s">
        <v>373</v>
      </c>
      <c r="M264" s="8"/>
      <c r="N264" s="8"/>
    </row>
    <row r="265" spans="1:14" ht="33" customHeight="1" thickBot="1" x14ac:dyDescent="0.35">
      <c r="A265"/>
      <c r="B265" s="34"/>
      <c r="C265" s="65" t="s">
        <v>339</v>
      </c>
      <c r="D265" s="50" t="s">
        <v>340</v>
      </c>
      <c r="E265" s="50" t="s">
        <v>341</v>
      </c>
      <c r="F265" s="75" t="s">
        <v>4</v>
      </c>
      <c r="G265" s="75">
        <v>1</v>
      </c>
      <c r="H265" s="75"/>
      <c r="I265" s="75"/>
      <c r="J265" s="75"/>
      <c r="K265" s="75">
        <v>1</v>
      </c>
      <c r="L265" s="24" t="s">
        <v>366</v>
      </c>
      <c r="M265" s="8"/>
      <c r="N265" s="8"/>
    </row>
    <row r="266" spans="1:14" ht="18.899999999999999" customHeight="1" x14ac:dyDescent="0.3">
      <c r="A266"/>
      <c r="B266" s="34"/>
      <c r="C266" s="112"/>
      <c r="D266" s="112"/>
      <c r="E266" s="112"/>
      <c r="F266" s="70">
        <f t="shared" ref="F266:K266" si="28">SUM(F264:F265)</f>
        <v>0</v>
      </c>
      <c r="G266" s="70">
        <f t="shared" si="28"/>
        <v>2</v>
      </c>
      <c r="H266" s="70">
        <f t="shared" si="28"/>
        <v>0</v>
      </c>
      <c r="I266" s="70">
        <f t="shared" si="28"/>
        <v>0</v>
      </c>
      <c r="J266" s="70">
        <f t="shared" si="28"/>
        <v>0</v>
      </c>
      <c r="K266" s="70">
        <f t="shared" si="28"/>
        <v>2</v>
      </c>
      <c r="L266" s="8"/>
      <c r="M266" s="8"/>
      <c r="N266" s="8"/>
    </row>
    <row r="267" spans="1:14" ht="18.899999999999999" customHeight="1" x14ac:dyDescent="0.3">
      <c r="A267"/>
      <c r="B267" s="34"/>
      <c r="C267" s="112"/>
      <c r="D267" s="112"/>
      <c r="E267" s="112"/>
      <c r="F267" s="78"/>
      <c r="G267" s="78"/>
      <c r="H267" s="78"/>
      <c r="I267" s="78"/>
      <c r="J267" s="78"/>
      <c r="K267" s="78"/>
      <c r="L267" s="1"/>
      <c r="M267" s="8"/>
      <c r="N267" s="8"/>
    </row>
    <row r="268" spans="1:14" ht="20.100000000000001" customHeight="1" x14ac:dyDescent="0.3">
      <c r="A268"/>
      <c r="B268" s="8"/>
      <c r="C268" s="8"/>
      <c r="D268" s="38"/>
      <c r="E268" s="10"/>
      <c r="M268" s="8"/>
      <c r="N268" s="8"/>
    </row>
    <row r="269" spans="1:14" ht="20.100000000000001" customHeight="1" thickBot="1" x14ac:dyDescent="0.35">
      <c r="A269"/>
      <c r="B269" s="8"/>
      <c r="C269" s="8"/>
      <c r="D269" s="38"/>
      <c r="E269" s="10"/>
      <c r="F269" s="70"/>
      <c r="G269" s="70"/>
      <c r="H269" s="70"/>
      <c r="I269" s="70"/>
      <c r="J269" s="70"/>
      <c r="K269" s="70"/>
      <c r="L269" s="8"/>
      <c r="M269" s="8"/>
      <c r="N269" s="8"/>
    </row>
    <row r="270" spans="1:14" ht="20.100000000000001" customHeight="1" x14ac:dyDescent="0.3">
      <c r="A270"/>
      <c r="B270" s="8"/>
      <c r="C270" s="8"/>
      <c r="D270" s="38"/>
      <c r="E270" s="88" t="s">
        <v>342</v>
      </c>
      <c r="F270" s="20" t="s">
        <v>17</v>
      </c>
      <c r="G270" s="20" t="s">
        <v>18</v>
      </c>
      <c r="H270" s="20" t="s">
        <v>19</v>
      </c>
      <c r="I270" s="20" t="s">
        <v>20</v>
      </c>
      <c r="J270" s="20" t="s">
        <v>21</v>
      </c>
      <c r="K270" s="137" t="s">
        <v>22</v>
      </c>
      <c r="L270" s="8"/>
      <c r="M270" s="8"/>
      <c r="N270" s="8"/>
    </row>
    <row r="271" spans="1:14" ht="20.100000000000001" customHeight="1" x14ac:dyDescent="0.3">
      <c r="B271" s="8"/>
      <c r="E271" s="83" t="s">
        <v>343</v>
      </c>
      <c r="F271" s="138">
        <f t="shared" ref="F271:K271" si="29">SUM(F14)</f>
        <v>0</v>
      </c>
      <c r="G271" s="138">
        <f t="shared" si="29"/>
        <v>1</v>
      </c>
      <c r="H271" s="138">
        <f t="shared" si="29"/>
        <v>0</v>
      </c>
      <c r="I271" s="138">
        <f t="shared" si="29"/>
        <v>0</v>
      </c>
      <c r="J271" s="138">
        <f t="shared" si="29"/>
        <v>0</v>
      </c>
      <c r="K271" s="138">
        <f t="shared" si="29"/>
        <v>1</v>
      </c>
      <c r="L271" s="2"/>
      <c r="M271" s="8"/>
      <c r="N271" s="8"/>
    </row>
    <row r="272" spans="1:14" ht="20.100000000000001" customHeight="1" x14ac:dyDescent="0.3">
      <c r="B272" s="8"/>
      <c r="E272" s="84" t="s">
        <v>344</v>
      </c>
      <c r="F272" s="138">
        <f>SUM(F30)</f>
        <v>1</v>
      </c>
      <c r="G272" s="138">
        <f t="shared" ref="G272:K272" si="30">SUM(G30)</f>
        <v>12</v>
      </c>
      <c r="H272" s="138">
        <f t="shared" si="30"/>
        <v>0</v>
      </c>
      <c r="I272" s="138">
        <f t="shared" si="30"/>
        <v>0</v>
      </c>
      <c r="J272" s="138">
        <f t="shared" si="30"/>
        <v>0</v>
      </c>
      <c r="K272" s="138">
        <f t="shared" si="30"/>
        <v>13</v>
      </c>
      <c r="L272" s="2"/>
      <c r="M272" s="8"/>
      <c r="N272" s="8"/>
    </row>
    <row r="273" spans="2:14" ht="20.100000000000001" customHeight="1" x14ac:dyDescent="0.3">
      <c r="B273" s="8"/>
      <c r="E273" s="85" t="s">
        <v>345</v>
      </c>
      <c r="F273" s="139">
        <f t="shared" ref="F273:K273" si="31">SUM(F54)</f>
        <v>0</v>
      </c>
      <c r="G273" s="139">
        <f t="shared" si="31"/>
        <v>21</v>
      </c>
      <c r="H273" s="139">
        <f t="shared" si="31"/>
        <v>0</v>
      </c>
      <c r="I273" s="139">
        <f t="shared" si="31"/>
        <v>0</v>
      </c>
      <c r="J273" s="139">
        <f t="shared" si="31"/>
        <v>0</v>
      </c>
      <c r="K273" s="139">
        <f t="shared" si="31"/>
        <v>21</v>
      </c>
      <c r="L273" s="39"/>
      <c r="M273" s="8"/>
      <c r="N273" s="8"/>
    </row>
    <row r="274" spans="2:14" ht="20.100000000000001" customHeight="1" x14ac:dyDescent="0.3">
      <c r="E274" s="146" t="s">
        <v>346</v>
      </c>
      <c r="F274" s="147"/>
      <c r="G274" s="147"/>
      <c r="H274" s="147"/>
      <c r="I274" s="147"/>
      <c r="J274" s="147"/>
      <c r="K274" s="147"/>
      <c r="L274" s="80"/>
    </row>
    <row r="275" spans="2:14" ht="20.100000000000001" customHeight="1" x14ac:dyDescent="0.3">
      <c r="E275" s="85" t="s">
        <v>347</v>
      </c>
      <c r="F275" s="139">
        <f t="shared" ref="F275:K275" si="32">SUM(F72)</f>
        <v>0</v>
      </c>
      <c r="G275" s="139">
        <f t="shared" si="32"/>
        <v>8</v>
      </c>
      <c r="H275" s="139">
        <f t="shared" si="32"/>
        <v>0</v>
      </c>
      <c r="I275" s="139">
        <f t="shared" si="32"/>
        <v>0</v>
      </c>
      <c r="J275" s="139">
        <f t="shared" si="32"/>
        <v>0</v>
      </c>
      <c r="K275" s="139">
        <f t="shared" si="32"/>
        <v>8</v>
      </c>
      <c r="L275" s="80"/>
    </row>
    <row r="276" spans="2:14" ht="20.100000000000001" customHeight="1" x14ac:dyDescent="0.3">
      <c r="E276" s="85" t="s">
        <v>348</v>
      </c>
      <c r="F276" s="139">
        <f t="shared" ref="F276:K276" si="33">SUM(F106)</f>
        <v>0</v>
      </c>
      <c r="G276" s="139">
        <f t="shared" si="33"/>
        <v>30</v>
      </c>
      <c r="H276" s="139">
        <f t="shared" si="33"/>
        <v>0</v>
      </c>
      <c r="I276" s="139">
        <f t="shared" si="33"/>
        <v>0</v>
      </c>
      <c r="J276" s="139">
        <f t="shared" si="33"/>
        <v>0</v>
      </c>
      <c r="K276" s="139">
        <f t="shared" si="33"/>
        <v>30</v>
      </c>
      <c r="L276" s="80"/>
    </row>
    <row r="277" spans="2:14" ht="20.100000000000001" customHeight="1" x14ac:dyDescent="0.3">
      <c r="E277" s="85" t="s">
        <v>349</v>
      </c>
      <c r="F277" s="139">
        <f t="shared" ref="F277:K277" si="34">SUM(F112)</f>
        <v>0</v>
      </c>
      <c r="G277" s="139">
        <f t="shared" si="34"/>
        <v>2</v>
      </c>
      <c r="H277" s="139">
        <f t="shared" si="34"/>
        <v>0</v>
      </c>
      <c r="I277" s="139">
        <f t="shared" si="34"/>
        <v>0</v>
      </c>
      <c r="J277" s="139">
        <f t="shared" si="34"/>
        <v>0</v>
      </c>
      <c r="K277" s="139">
        <f t="shared" si="34"/>
        <v>2</v>
      </c>
      <c r="L277" s="80"/>
    </row>
    <row r="278" spans="2:14" ht="20.100000000000001" customHeight="1" x14ac:dyDescent="0.3">
      <c r="E278" s="85" t="s">
        <v>350</v>
      </c>
      <c r="F278" s="139">
        <f t="shared" ref="F278:K278" si="35">SUM(F117)</f>
        <v>0</v>
      </c>
      <c r="G278" s="139">
        <f t="shared" si="35"/>
        <v>1</v>
      </c>
      <c r="H278" s="139">
        <f t="shared" si="35"/>
        <v>0</v>
      </c>
      <c r="I278" s="139">
        <f t="shared" si="35"/>
        <v>0</v>
      </c>
      <c r="J278" s="139">
        <f t="shared" si="35"/>
        <v>0</v>
      </c>
      <c r="K278" s="139">
        <f t="shared" si="35"/>
        <v>1</v>
      </c>
      <c r="L278" s="80"/>
    </row>
    <row r="279" spans="2:14" ht="20.100000000000001" customHeight="1" x14ac:dyDescent="0.3">
      <c r="E279" s="85" t="s">
        <v>351</v>
      </c>
      <c r="F279" s="139">
        <f t="shared" ref="F279:K279" si="36">SUM(F122)</f>
        <v>0</v>
      </c>
      <c r="G279" s="139">
        <f t="shared" si="36"/>
        <v>1</v>
      </c>
      <c r="H279" s="139">
        <f t="shared" si="36"/>
        <v>0</v>
      </c>
      <c r="I279" s="139">
        <f t="shared" si="36"/>
        <v>0</v>
      </c>
      <c r="J279" s="139">
        <f t="shared" si="36"/>
        <v>0</v>
      </c>
      <c r="K279" s="139">
        <f t="shared" si="36"/>
        <v>1</v>
      </c>
      <c r="L279" s="80"/>
    </row>
    <row r="280" spans="2:14" ht="20.100000000000001" customHeight="1" x14ac:dyDescent="0.3">
      <c r="E280" s="85" t="s">
        <v>352</v>
      </c>
      <c r="F280" s="139">
        <f t="shared" ref="F280:K280" si="37">SUM(F128)</f>
        <v>0</v>
      </c>
      <c r="G280" s="139">
        <f t="shared" si="37"/>
        <v>2</v>
      </c>
      <c r="H280" s="139">
        <f t="shared" si="37"/>
        <v>0</v>
      </c>
      <c r="I280" s="139">
        <f t="shared" si="37"/>
        <v>0</v>
      </c>
      <c r="J280" s="139">
        <f t="shared" si="37"/>
        <v>0</v>
      </c>
      <c r="K280" s="139">
        <f t="shared" si="37"/>
        <v>2</v>
      </c>
      <c r="L280" s="80"/>
    </row>
    <row r="281" spans="2:14" ht="20.100000000000001" customHeight="1" x14ac:dyDescent="0.3">
      <c r="E281" s="85" t="s">
        <v>353</v>
      </c>
      <c r="F281" s="139">
        <f t="shared" ref="F281:K281" si="38">SUM(F144)</f>
        <v>0</v>
      </c>
      <c r="G281" s="139">
        <f t="shared" si="38"/>
        <v>13</v>
      </c>
      <c r="H281" s="139">
        <f t="shared" si="38"/>
        <v>0</v>
      </c>
      <c r="I281" s="139">
        <f t="shared" si="38"/>
        <v>0</v>
      </c>
      <c r="J281" s="139">
        <f t="shared" si="38"/>
        <v>0</v>
      </c>
      <c r="K281" s="139">
        <f t="shared" si="38"/>
        <v>13</v>
      </c>
      <c r="L281" s="80"/>
    </row>
    <row r="282" spans="2:14" ht="20.100000000000001" customHeight="1" x14ac:dyDescent="0.3">
      <c r="E282" s="146" t="s">
        <v>354</v>
      </c>
      <c r="F282" s="147"/>
      <c r="G282" s="147"/>
      <c r="H282" s="147"/>
      <c r="I282" s="147"/>
      <c r="J282" s="147"/>
      <c r="K282" s="147"/>
      <c r="L282" s="80"/>
    </row>
    <row r="283" spans="2:14" ht="20.100000000000001" customHeight="1" x14ac:dyDescent="0.3">
      <c r="E283" s="146" t="s">
        <v>355</v>
      </c>
      <c r="F283" s="147"/>
      <c r="G283" s="147"/>
      <c r="H283" s="147"/>
      <c r="I283" s="147"/>
      <c r="J283" s="147"/>
      <c r="K283" s="147"/>
      <c r="L283" s="80"/>
    </row>
    <row r="284" spans="2:14" ht="20.100000000000001" customHeight="1" x14ac:dyDescent="0.3">
      <c r="E284" s="85" t="s">
        <v>226</v>
      </c>
      <c r="F284" s="139">
        <f t="shared" ref="F284:K284" si="39">SUM(F150)</f>
        <v>0</v>
      </c>
      <c r="G284" s="139">
        <f t="shared" si="39"/>
        <v>2</v>
      </c>
      <c r="H284" s="139">
        <f t="shared" si="39"/>
        <v>0</v>
      </c>
      <c r="I284" s="139">
        <f t="shared" si="39"/>
        <v>0</v>
      </c>
      <c r="J284" s="139">
        <f t="shared" si="39"/>
        <v>0</v>
      </c>
      <c r="K284" s="139">
        <f t="shared" si="39"/>
        <v>2</v>
      </c>
      <c r="L284" s="80"/>
    </row>
    <row r="285" spans="2:14" ht="20.100000000000001" customHeight="1" x14ac:dyDescent="0.3">
      <c r="E285" s="85" t="s">
        <v>227</v>
      </c>
      <c r="F285" s="139">
        <f t="shared" ref="F285:K285" si="40">SUM(F157)</f>
        <v>0</v>
      </c>
      <c r="G285" s="139">
        <f t="shared" si="40"/>
        <v>4</v>
      </c>
      <c r="H285" s="139">
        <f t="shared" si="40"/>
        <v>0</v>
      </c>
      <c r="I285" s="139">
        <f t="shared" si="40"/>
        <v>0</v>
      </c>
      <c r="J285" s="139">
        <f t="shared" si="40"/>
        <v>0</v>
      </c>
      <c r="K285" s="139">
        <f t="shared" si="40"/>
        <v>4</v>
      </c>
      <c r="L285" s="80"/>
    </row>
    <row r="286" spans="2:14" ht="20.100000000000001" customHeight="1" x14ac:dyDescent="0.3">
      <c r="E286" s="85" t="s">
        <v>240</v>
      </c>
      <c r="F286" s="140">
        <f t="shared" ref="F286:K286" si="41">SUM(F165)</f>
        <v>0</v>
      </c>
      <c r="G286" s="140">
        <f t="shared" si="41"/>
        <v>4</v>
      </c>
      <c r="H286" s="140">
        <f t="shared" si="41"/>
        <v>0</v>
      </c>
      <c r="I286" s="140">
        <f t="shared" si="41"/>
        <v>0</v>
      </c>
      <c r="J286" s="140">
        <f t="shared" si="41"/>
        <v>0</v>
      </c>
      <c r="K286" s="140">
        <f t="shared" si="41"/>
        <v>4</v>
      </c>
      <c r="L286" s="82"/>
    </row>
    <row r="287" spans="2:14" ht="20.100000000000001" customHeight="1" x14ac:dyDescent="0.3">
      <c r="E287" s="85" t="s">
        <v>249</v>
      </c>
      <c r="F287" s="140">
        <f t="shared" ref="F287:K287" si="42">SUM(F170)</f>
        <v>0</v>
      </c>
      <c r="G287" s="140">
        <f t="shared" si="42"/>
        <v>0</v>
      </c>
      <c r="H287" s="140">
        <f t="shared" si="42"/>
        <v>0</v>
      </c>
      <c r="I287" s="140">
        <f t="shared" si="42"/>
        <v>0</v>
      </c>
      <c r="J287" s="140">
        <f t="shared" si="42"/>
        <v>0</v>
      </c>
      <c r="K287" s="140">
        <f t="shared" si="42"/>
        <v>0</v>
      </c>
      <c r="L287" s="82"/>
    </row>
    <row r="288" spans="2:14" ht="20.100000000000001" customHeight="1" x14ac:dyDescent="0.3">
      <c r="E288" s="146" t="s">
        <v>356</v>
      </c>
      <c r="F288" s="148"/>
      <c r="G288" s="148"/>
      <c r="H288" s="148"/>
      <c r="I288" s="148"/>
      <c r="J288" s="148"/>
      <c r="K288" s="148"/>
      <c r="L288" s="82"/>
    </row>
    <row r="289" spans="5:12" ht="20.100000000000001" customHeight="1" x14ac:dyDescent="0.3">
      <c r="E289" s="85" t="s">
        <v>253</v>
      </c>
      <c r="F289" s="140">
        <f t="shared" ref="F289:K289" si="43">SUM(F182)</f>
        <v>0</v>
      </c>
      <c r="G289" s="140">
        <f t="shared" si="43"/>
        <v>3</v>
      </c>
      <c r="H289" s="140">
        <f t="shared" si="43"/>
        <v>0</v>
      </c>
      <c r="I289" s="140">
        <f t="shared" si="43"/>
        <v>0</v>
      </c>
      <c r="J289" s="140">
        <f t="shared" si="43"/>
        <v>0</v>
      </c>
      <c r="K289" s="140">
        <f t="shared" si="43"/>
        <v>3</v>
      </c>
      <c r="L289" s="82"/>
    </row>
    <row r="290" spans="5:12" ht="20.100000000000001" customHeight="1" x14ac:dyDescent="0.3">
      <c r="E290" s="85" t="s">
        <v>258</v>
      </c>
      <c r="F290" s="140">
        <f t="shared" ref="F290:K290" si="44">SUM(F191)</f>
        <v>0</v>
      </c>
      <c r="G290" s="140">
        <f t="shared" si="44"/>
        <v>5</v>
      </c>
      <c r="H290" s="140">
        <f t="shared" si="44"/>
        <v>0</v>
      </c>
      <c r="I290" s="140">
        <f t="shared" si="44"/>
        <v>0</v>
      </c>
      <c r="J290" s="140">
        <f t="shared" si="44"/>
        <v>0</v>
      </c>
      <c r="K290" s="140">
        <f t="shared" si="44"/>
        <v>5</v>
      </c>
      <c r="L290" s="82"/>
    </row>
    <row r="291" spans="5:12" ht="20.100000000000001" customHeight="1" x14ac:dyDescent="0.3">
      <c r="E291" s="85" t="s">
        <v>266</v>
      </c>
      <c r="F291" s="140">
        <f t="shared" ref="F291:K291" si="45">SUM(F202)</f>
        <v>0</v>
      </c>
      <c r="G291" s="140">
        <f t="shared" si="45"/>
        <v>7</v>
      </c>
      <c r="H291" s="140">
        <f t="shared" si="45"/>
        <v>0</v>
      </c>
      <c r="I291" s="140">
        <f t="shared" si="45"/>
        <v>0</v>
      </c>
      <c r="J291" s="140">
        <f t="shared" si="45"/>
        <v>0</v>
      </c>
      <c r="K291" s="140">
        <f t="shared" si="45"/>
        <v>7</v>
      </c>
      <c r="L291" s="82"/>
    </row>
    <row r="292" spans="5:12" ht="20.100000000000001" customHeight="1" x14ac:dyDescent="0.3">
      <c r="E292" s="85" t="s">
        <v>287</v>
      </c>
      <c r="F292" s="140">
        <f t="shared" ref="F292:K292" si="46">SUM(F209)</f>
        <v>0</v>
      </c>
      <c r="G292" s="140">
        <f t="shared" si="46"/>
        <v>3</v>
      </c>
      <c r="H292" s="140">
        <f t="shared" si="46"/>
        <v>0</v>
      </c>
      <c r="I292" s="140">
        <f t="shared" si="46"/>
        <v>0</v>
      </c>
      <c r="J292" s="140">
        <f t="shared" si="46"/>
        <v>0</v>
      </c>
      <c r="K292" s="140">
        <f t="shared" si="46"/>
        <v>3</v>
      </c>
      <c r="L292" s="82"/>
    </row>
    <row r="293" spans="5:12" ht="20.100000000000001" customHeight="1" x14ac:dyDescent="0.3">
      <c r="E293" s="85" t="s">
        <v>291</v>
      </c>
      <c r="F293" s="140">
        <f t="shared" ref="F293:K293" si="47">SUM(F214)</f>
        <v>0</v>
      </c>
      <c r="G293" s="140">
        <f t="shared" si="47"/>
        <v>0</v>
      </c>
      <c r="H293" s="140">
        <f t="shared" si="47"/>
        <v>0</v>
      </c>
      <c r="I293" s="140">
        <f t="shared" si="47"/>
        <v>0</v>
      </c>
      <c r="J293" s="140">
        <f t="shared" si="47"/>
        <v>0</v>
      </c>
      <c r="K293" s="140">
        <f t="shared" si="47"/>
        <v>0</v>
      </c>
      <c r="L293" s="82"/>
    </row>
    <row r="294" spans="5:12" ht="20.100000000000001" customHeight="1" x14ac:dyDescent="0.3">
      <c r="E294" s="85" t="s">
        <v>293</v>
      </c>
      <c r="F294" s="140">
        <f t="shared" ref="F294:K294" si="48">SUM(F220)</f>
        <v>0</v>
      </c>
      <c r="G294" s="140">
        <f t="shared" si="48"/>
        <v>0</v>
      </c>
      <c r="H294" s="140">
        <f t="shared" si="48"/>
        <v>0</v>
      </c>
      <c r="I294" s="140">
        <f t="shared" si="48"/>
        <v>0</v>
      </c>
      <c r="J294" s="140">
        <f t="shared" si="48"/>
        <v>0</v>
      </c>
      <c r="K294" s="140">
        <f t="shared" si="48"/>
        <v>0</v>
      </c>
      <c r="L294" s="82"/>
    </row>
    <row r="295" spans="5:12" ht="20.100000000000001" customHeight="1" x14ac:dyDescent="0.3">
      <c r="E295" s="85" t="s">
        <v>357</v>
      </c>
      <c r="F295" s="140">
        <f t="shared" ref="F295:K295" si="49">SUM(F226)</f>
        <v>0</v>
      </c>
      <c r="G295" s="140">
        <f t="shared" si="49"/>
        <v>2</v>
      </c>
      <c r="H295" s="140">
        <f t="shared" si="49"/>
        <v>0</v>
      </c>
      <c r="I295" s="140">
        <f t="shared" si="49"/>
        <v>0</v>
      </c>
      <c r="J295" s="140">
        <f t="shared" si="49"/>
        <v>0</v>
      </c>
      <c r="K295" s="140">
        <f t="shared" si="49"/>
        <v>2</v>
      </c>
      <c r="L295" s="82"/>
    </row>
    <row r="296" spans="5:12" ht="20.100000000000001" customHeight="1" x14ac:dyDescent="0.3">
      <c r="E296" s="85" t="s">
        <v>358</v>
      </c>
      <c r="F296" s="140">
        <f t="shared" ref="F296:K296" si="50">SUM(F235)</f>
        <v>0</v>
      </c>
      <c r="G296" s="140">
        <f t="shared" si="50"/>
        <v>5</v>
      </c>
      <c r="H296" s="140">
        <f t="shared" si="50"/>
        <v>0</v>
      </c>
      <c r="I296" s="140">
        <f t="shared" si="50"/>
        <v>0</v>
      </c>
      <c r="J296" s="140">
        <f t="shared" si="50"/>
        <v>0</v>
      </c>
      <c r="K296" s="140">
        <f t="shared" si="50"/>
        <v>5</v>
      </c>
      <c r="L296" s="82"/>
    </row>
    <row r="297" spans="5:12" ht="20.100000000000001" customHeight="1" x14ac:dyDescent="0.3">
      <c r="E297" s="85" t="s">
        <v>315</v>
      </c>
      <c r="F297" s="140">
        <f t="shared" ref="F297:K299" si="51">SUM(F241)</f>
        <v>0</v>
      </c>
      <c r="G297" s="140">
        <f t="shared" si="51"/>
        <v>2</v>
      </c>
      <c r="H297" s="140">
        <f t="shared" si="51"/>
        <v>0</v>
      </c>
      <c r="I297" s="140">
        <f t="shared" si="51"/>
        <v>0</v>
      </c>
      <c r="J297" s="140">
        <f t="shared" si="51"/>
        <v>0</v>
      </c>
      <c r="K297" s="140">
        <f t="shared" si="51"/>
        <v>2</v>
      </c>
      <c r="L297" s="82"/>
    </row>
    <row r="298" spans="5:12" ht="20.100000000000001" customHeight="1" x14ac:dyDescent="0.3">
      <c r="E298" s="85" t="s">
        <v>359</v>
      </c>
      <c r="F298" s="140">
        <f t="shared" si="51"/>
        <v>0</v>
      </c>
      <c r="G298" s="140">
        <f t="shared" si="51"/>
        <v>0</v>
      </c>
      <c r="H298" s="140">
        <f t="shared" si="51"/>
        <v>0</v>
      </c>
      <c r="I298" s="140">
        <f t="shared" si="51"/>
        <v>0</v>
      </c>
      <c r="J298" s="140">
        <f t="shared" si="51"/>
        <v>0</v>
      </c>
      <c r="K298" s="140">
        <f t="shared" si="51"/>
        <v>0</v>
      </c>
      <c r="L298" s="82"/>
    </row>
    <row r="299" spans="5:12" ht="20.100000000000001" customHeight="1" x14ac:dyDescent="0.3">
      <c r="E299" s="85" t="s">
        <v>320</v>
      </c>
      <c r="F299" s="140">
        <f>SUM(F243)</f>
        <v>0</v>
      </c>
      <c r="G299" s="140">
        <f t="shared" si="51"/>
        <v>0</v>
      </c>
      <c r="H299" s="140">
        <f t="shared" si="51"/>
        <v>0</v>
      </c>
      <c r="I299" s="140">
        <f t="shared" si="51"/>
        <v>0</v>
      </c>
      <c r="J299" s="140">
        <f t="shared" si="51"/>
        <v>0</v>
      </c>
      <c r="K299" s="140">
        <f t="shared" si="51"/>
        <v>0</v>
      </c>
      <c r="L299" s="82"/>
    </row>
    <row r="300" spans="5:12" ht="20.100000000000001" customHeight="1" x14ac:dyDescent="0.3">
      <c r="E300" s="86" t="s">
        <v>321</v>
      </c>
      <c r="F300" s="140">
        <f>SUM(F261)</f>
        <v>0</v>
      </c>
      <c r="G300" s="140">
        <f t="shared" ref="G300:K300" si="52">SUM(G261)</f>
        <v>5</v>
      </c>
      <c r="H300" s="140">
        <f t="shared" si="52"/>
        <v>0</v>
      </c>
      <c r="I300" s="140">
        <f t="shared" si="52"/>
        <v>0</v>
      </c>
      <c r="J300" s="140">
        <f t="shared" si="52"/>
        <v>0</v>
      </c>
      <c r="K300" s="140">
        <f t="shared" si="52"/>
        <v>5</v>
      </c>
      <c r="L300" s="82"/>
    </row>
    <row r="301" spans="5:12" ht="20.100000000000001" customHeight="1" x14ac:dyDescent="0.3">
      <c r="E301" s="86" t="s">
        <v>360</v>
      </c>
      <c r="F301" s="140">
        <f>SUM(F266)</f>
        <v>0</v>
      </c>
      <c r="G301" s="140">
        <f t="shared" ref="G301:J301" si="53">SUM(G266)</f>
        <v>2</v>
      </c>
      <c r="H301" s="140">
        <f t="shared" si="53"/>
        <v>0</v>
      </c>
      <c r="I301" s="140">
        <f t="shared" si="53"/>
        <v>0</v>
      </c>
      <c r="J301" s="140">
        <f t="shared" si="53"/>
        <v>0</v>
      </c>
      <c r="K301" s="140">
        <f>SUM(K266)</f>
        <v>2</v>
      </c>
      <c r="L301" s="82"/>
    </row>
    <row r="302" spans="5:12" ht="27.75" customHeight="1" x14ac:dyDescent="0.3">
      <c r="E302" s="149" t="s">
        <v>361</v>
      </c>
      <c r="F302" s="150">
        <f t="shared" ref="F302:K302" si="54">SUM(F271:F301)</f>
        <v>1</v>
      </c>
      <c r="G302" s="150">
        <f t="shared" si="54"/>
        <v>135</v>
      </c>
      <c r="H302" s="150">
        <f t="shared" si="54"/>
        <v>0</v>
      </c>
      <c r="I302" s="150">
        <f t="shared" si="54"/>
        <v>0</v>
      </c>
      <c r="J302" s="150">
        <f t="shared" si="54"/>
        <v>0</v>
      </c>
      <c r="K302" s="150">
        <f t="shared" si="54"/>
        <v>136</v>
      </c>
      <c r="L302" s="1"/>
    </row>
    <row r="303" spans="5:12" ht="20.100000000000001" customHeight="1" x14ac:dyDescent="0.3">
      <c r="E303" s="87"/>
      <c r="F303" s="1"/>
      <c r="G303" s="1"/>
      <c r="H303" s="1"/>
      <c r="I303" s="1"/>
      <c r="J303" s="1"/>
      <c r="K303" s="1"/>
    </row>
    <row r="304" spans="5:12" ht="20.100000000000001" customHeight="1" x14ac:dyDescent="0.3">
      <c r="F304" s="1"/>
      <c r="G304" s="1"/>
      <c r="H304" s="1"/>
      <c r="I304" s="1"/>
      <c r="J304" s="1"/>
      <c r="K304" s="1"/>
    </row>
    <row r="305" spans="6:11" ht="15.6" x14ac:dyDescent="0.3">
      <c r="F305" s="1"/>
      <c r="G305" s="1"/>
      <c r="H305" s="1"/>
      <c r="I305" s="1"/>
      <c r="J305" s="1"/>
      <c r="K305" s="1"/>
    </row>
  </sheetData>
  <mergeCells count="24">
    <mergeCell ref="C262:D262"/>
    <mergeCell ref="C236:D236"/>
    <mergeCell ref="C151:D151"/>
    <mergeCell ref="C242:D242"/>
    <mergeCell ref="C248:D248"/>
    <mergeCell ref="C227:D227"/>
    <mergeCell ref="C192:D192"/>
    <mergeCell ref="C176:D176"/>
    <mergeCell ref="C183:D183"/>
    <mergeCell ref="C221:D221"/>
    <mergeCell ref="G8:K8"/>
    <mergeCell ref="C7:D7"/>
    <mergeCell ref="C8:D8"/>
    <mergeCell ref="C55:D55"/>
    <mergeCell ref="C171:D171"/>
    <mergeCell ref="C31:D31"/>
    <mergeCell ref="C166:D166"/>
    <mergeCell ref="C62:D62"/>
    <mergeCell ref="C107:D107"/>
    <mergeCell ref="C113:D113"/>
    <mergeCell ref="C123:D123"/>
    <mergeCell ref="C73:D73"/>
    <mergeCell ref="C9:D9"/>
    <mergeCell ref="E8:F8"/>
  </mergeCells>
  <conditionalFormatting sqref="L17">
    <cfRule type="expression" dxfId="1" priority="2">
      <formula>IF(#REF!="N",TRUE,IF(#REF!="Y",TRUE,IF(#REF!="Y",TRUE,(IF(#REF!="Y",TRUE,FALSE)))))</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63D70F4D-61E2-450D-9E71-7A8EDFB182AE}"/>
</file>

<file path=customXml/itemProps2.xml><?xml version="1.0" encoding="utf-8"?>
<ds:datastoreItem xmlns:ds="http://schemas.openxmlformats.org/officeDocument/2006/customXml" ds:itemID="{4A7A2083-047D-4246-85DF-57E705A65481}">
  <ds:schemaRefs>
    <ds:schemaRef ds:uri="http://schemas.microsoft.com/sharepoint/v3/contenttype/forms"/>
  </ds:schemaRefs>
</ds:datastoreItem>
</file>

<file path=customXml/itemProps3.xml><?xml version="1.0" encoding="utf-8"?>
<ds:datastoreItem xmlns:ds="http://schemas.openxmlformats.org/officeDocument/2006/customXml" ds:itemID="{1BABA192-D1AC-4996-BAE5-E5C3ECC2C273}">
  <ds:schemaRefs>
    <ds:schemaRef ds:uri="http://schemas.microsoft.com/office/2006/metadata/properties"/>
    <ds:schemaRef ds:uri="http://schemas.microsoft.com/office/infopath/2007/PartnerControls"/>
    <ds:schemaRef ds:uri="334b727f-0065-44db-b6ec-ff3badeab939"/>
    <ds:schemaRef ds:uri="9bd2525a-437e-4a83-9c0b-7c23ada133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Reports Requirements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Roy</dc:creator>
  <cp:keywords/>
  <dc:description/>
  <cp:lastModifiedBy>Carl Elliott</cp:lastModifiedBy>
  <cp:revision/>
  <dcterms:created xsi:type="dcterms:W3CDTF">2018-03-16T13:30:57Z</dcterms:created>
  <dcterms:modified xsi:type="dcterms:W3CDTF">2024-12-17T21:11:12Z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ies>
</file>