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C:\Users\scott.weiler\Documents\My Documents\Clariti\City of Berkeley\"/>
    </mc:Choice>
  </mc:AlternateContent>
  <xr:revisionPtr revIDLastSave="0" documentId="13_ncr:1_{1FFA2A24-9085-4662-AC2C-4180BBF8BBAA}" xr6:coauthVersionLast="47" xr6:coauthVersionMax="47" xr10:uidLastSave="{00000000-0000-0000-0000-000000000000}"/>
  <bookViews>
    <workbookView xWindow="0" yWindow="760" windowWidth="19380" windowHeight="11110" firstSheet="1" activeTab="1" xr2:uid="{00000000-000D-0000-FFFF-FFFF00000000}"/>
  </bookViews>
  <sheets>
    <sheet name="1-Summary" sheetId="1" r:id="rId1"/>
    <sheet name="2-Implementation Fees" sheetId="2" r:id="rId2"/>
    <sheet name="3-Annual Cost Post Go Live" sheetId="3" r:id="rId3"/>
    <sheet name="4-Other"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0Inq5V48A81KfH0eCVSnBKXghFr1j9UbqFbXjDjBW8s="/>
    </ext>
  </extLst>
</workbook>
</file>

<file path=xl/calcChain.xml><?xml version="1.0" encoding="utf-8"?>
<calcChain xmlns="http://schemas.openxmlformats.org/spreadsheetml/2006/main">
  <c r="B32" i="2" l="1"/>
  <c r="B31" i="2"/>
  <c r="B30" i="2"/>
  <c r="B29" i="2"/>
  <c r="B28" i="2"/>
  <c r="B27" i="2"/>
  <c r="B26" i="2"/>
  <c r="B25" i="2"/>
  <c r="B34" i="2"/>
  <c r="B33" i="2"/>
  <c r="B24" i="2"/>
  <c r="B23" i="2"/>
  <c r="B22" i="2"/>
  <c r="B21" i="2"/>
  <c r="B22" i="3"/>
  <c r="E21" i="3"/>
  <c r="F21" i="3" s="1"/>
  <c r="B15" i="2" l="1"/>
  <c r="B7" i="1" s="1"/>
  <c r="C21" i="4" l="1"/>
  <c r="B21" i="4"/>
  <c r="B2" i="4"/>
  <c r="A2" i="4"/>
  <c r="C19" i="3"/>
  <c r="C22" i="3" s="1"/>
  <c r="B15" i="3"/>
  <c r="C5" i="3"/>
  <c r="C15" i="3" s="1"/>
  <c r="A2" i="3"/>
  <c r="B36" i="2"/>
  <c r="B25" i="3" s="1"/>
  <c r="A2" i="2"/>
  <c r="D19" i="3" l="1"/>
  <c r="D22" i="3" s="1"/>
  <c r="D5" i="3"/>
  <c r="E5" i="3" l="1"/>
  <c r="D15" i="3"/>
  <c r="E19" i="3"/>
  <c r="E22" i="3" s="1"/>
  <c r="F5" i="3" l="1"/>
  <c r="F15" i="3" s="1"/>
  <c r="E15" i="3"/>
  <c r="B8" i="1" s="1"/>
  <c r="B11" i="1" s="1"/>
  <c r="F19" i="3"/>
  <c r="F22" i="3" s="1"/>
</calcChain>
</file>

<file path=xl/sharedStrings.xml><?xml version="1.0" encoding="utf-8"?>
<sst xmlns="http://schemas.openxmlformats.org/spreadsheetml/2006/main" count="148" uniqueCount="79">
  <si>
    <t>Appendix G - Cost Proposal</t>
  </si>
  <si>
    <t xml:space="preserve">Vendor: </t>
  </si>
  <si>
    <t>Speridian Technologies</t>
  </si>
  <si>
    <t>City of Berkeley, California</t>
  </si>
  <si>
    <t>Cost Categories</t>
  </si>
  <si>
    <t>Total Cost</t>
  </si>
  <si>
    <t>Explanation/Notes (if necessary)</t>
  </si>
  <si>
    <t>Project Costs</t>
  </si>
  <si>
    <t>Implementation Fees (Sheet 2)</t>
  </si>
  <si>
    <t>5 Year Annual Cost Post Go Live (Sheet 3)</t>
  </si>
  <si>
    <t>Other Fees (Sheet 4)</t>
  </si>
  <si>
    <t>Total Implementation + 5 Year Costs</t>
  </si>
  <si>
    <t>2 - Implementation Fees</t>
  </si>
  <si>
    <t> </t>
  </si>
  <si>
    <t>IMPLEMENTATION DELIVERABLE / TASK</t>
  </si>
  <si>
    <t>PAYMENT AMOUNT</t>
  </si>
  <si>
    <t>COMMENTS</t>
  </si>
  <si>
    <t>PROJECT MANAGEMENT</t>
  </si>
  <si>
    <t>$</t>
  </si>
  <si>
    <t>REQUIREMENTS &amp; DESIGN (Architect Solution)</t>
  </si>
  <si>
    <t>DEVELOPMENT (Build, Configure, Integrate, Test)</t>
  </si>
  <si>
    <t>INTEGRATION</t>
  </si>
  <si>
    <t>DATA MIGRATION</t>
  </si>
  <si>
    <t>TRAINING</t>
  </si>
  <si>
    <t>SIT</t>
  </si>
  <si>
    <t>UAT</t>
  </si>
  <si>
    <t>DEPLOYMENT (CUTOVER SUPPORT)</t>
  </si>
  <si>
    <t>POST GO LIVE HEALTH CHECK</t>
  </si>
  <si>
    <t xml:space="preserve"> $                          -  </t>
  </si>
  <si>
    <t>OPTIONAL ITEM</t>
  </si>
  <si>
    <t>DELIVERABLE / TASK #</t>
  </si>
  <si>
    <t>Projected Dates (from Plan)</t>
  </si>
  <si>
    <t>SOW Signature (10%)</t>
  </si>
  <si>
    <t>Initiation: Project Kickoff (10%)</t>
  </si>
  <si>
    <t>Discovery: Completion of Project Plan / Signoff (10%)</t>
  </si>
  <si>
    <t>Discovery: End of Discovery (BRD, SDD, TDD) / Signoff (10%)</t>
  </si>
  <si>
    <t>Build: Solution Checkpoint 1 (Demo) Signoff (5%)</t>
  </si>
  <si>
    <t>Build: Solution Checkpoint 2 (Demo) Signoff (5%)</t>
  </si>
  <si>
    <t>Build: Solution Checkpoint 3 (Demo) Signoff (5%)</t>
  </si>
  <si>
    <t>Build: Solution Checkpoint 4 (Demo) Signoff (5%)</t>
  </si>
  <si>
    <t>Build: Solution Checkpoint 5 (Demo) Signoff (5%)</t>
  </si>
  <si>
    <t>Build: Solution Checkpoint 6 (Demo) Signoff (5%)</t>
  </si>
  <si>
    <t>Build: Development Complete - Signoff (5%)</t>
  </si>
  <si>
    <t>Validate: Completion of SIT (5%)</t>
  </si>
  <si>
    <t>Validate: Completion of UAT (5%)</t>
  </si>
  <si>
    <t>Roll-Out: Go-Live (5%)</t>
  </si>
  <si>
    <t>3 - Annual Cost Post Go Live</t>
  </si>
  <si>
    <t>ITEM NAME</t>
  </si>
  <si>
    <t>YEAR 1 COST</t>
  </si>
  <si>
    <t>YEAR 2 COST</t>
  </si>
  <si>
    <t>YEAR 3 COST</t>
  </si>
  <si>
    <t>YEAR 4 COST</t>
  </si>
  <si>
    <t>YEAR 5 COST</t>
  </si>
  <si>
    <t>Clariti Enterprise - Community Developement</t>
  </si>
  <si>
    <t>1. Any purchase order generated on this quote indicates acceptance of all terms and conditions on the Clariti Software Agreement.</t>
  </si>
  <si>
    <t xml:space="preserve">    - Platform User License - Enhanced (164)</t>
  </si>
  <si>
    <t>2. Warranty is provided concurrent to licensing subscription, provided that all Clariti managed packages are kept within 1 year up to date.</t>
  </si>
  <si>
    <t xml:space="preserve">    - Admin User License - Enhanced (4)</t>
  </si>
  <si>
    <t>3. All User Licenses enable the users to use up to 30 custom objects beyond those in Clariti's managed packages, provided they are within the scope of, and for use exclusively with, the Clariti permitting and licensing application.</t>
  </si>
  <si>
    <t xml:space="preserve">    - Customer Community Logins (6,000/month)</t>
  </si>
  <si>
    <t>4. All Community Licenses enable users assigned this license to access up to 10 custom objects beyond those included in Clariti's managed packages.</t>
  </si>
  <si>
    <t xml:space="preserve">    - Clariti Salesforce Shield (1)</t>
  </si>
  <si>
    <t>5. Starting in Year 2, Clariti reserves the right to increase prices up to the greater of 5% or the annual change in the Consumer Price Index statistics published by the United States Bureau of Labor.</t>
  </si>
  <si>
    <t xml:space="preserve">    - Clariti Sandbox, Full (1)</t>
  </si>
  <si>
    <t>6. Clariti Admin User License included at no cost.</t>
  </si>
  <si>
    <t xml:space="preserve">    - Clariti Knowledge (1)</t>
  </si>
  <si>
    <t xml:space="preserve">    - Clariti ESRI ArcGIS Integration (1)</t>
  </si>
  <si>
    <t xml:space="preserve">    - Clariti Bluebeam Integration (1)</t>
  </si>
  <si>
    <t xml:space="preserve">    - Clariti Payments (1)</t>
  </si>
  <si>
    <t>Total</t>
  </si>
  <si>
    <t>OPTIONAL ITEMS</t>
  </si>
  <si>
    <t>Clariti Guide</t>
  </si>
  <si>
    <t>Clariti Guide Implementation (one time cost)</t>
  </si>
  <si>
    <t>Speridian Managed Services Support</t>
  </si>
  <si>
    <t>Speridian Managed Services would begin aftet Hypercare warranty support period Post go-live.</t>
  </si>
  <si>
    <t>4 - Other Fees</t>
  </si>
  <si>
    <t>Description</t>
  </si>
  <si>
    <t>Cost</t>
  </si>
  <si>
    <t>Scope Option #2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</si>
</sst>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6" formatCode="&quot;$&quot;#,##0_);[Red]\(&quot;$&quot;#,##0\)"/>
    <numFmt numFmtId="44" formatCode="_(&quot;$&quot;* #,##0.00_);_(&quot;$&quot;* \(#,##0.00\);_(&quot;$&quot;* &quot;-&quot;??_);_(@_)"/>
    <numFmt numFmtId="164" formatCode="_(&quot;$&quot;* #,##0_);_(&quot;$&quot;* \(#,##0\);_(&quot;$&quot;* &quot;-&quot;??_);_(@_)"/>
    <numFmt numFmtId="165" formatCode="&quot;$&quot;#,##0.00"/>
    <numFmt numFmtId="166" formatCode="[$-409]d\-mmm\-yy;@"/>
  </numFmts>
  <fonts count="19">
    <font>
      <sz val="10"/>
      <color rgb="FF000000"/>
      <name val="Arial"/>
      <scheme val="minor"/>
    </font>
    <font>
      <sz val="11"/>
      <color theme="1"/>
      <name val="Arial"/>
      <family val="2"/>
      <scheme val="minor"/>
    </font>
    <font>
      <b/>
      <sz val="12"/>
      <color theme="1"/>
      <name val="Arial"/>
      <family val="2"/>
    </font>
    <font>
      <sz val="12"/>
      <color theme="1"/>
      <name val="Arial"/>
      <family val="2"/>
    </font>
    <font>
      <b/>
      <i/>
      <sz val="12"/>
      <color theme="1"/>
      <name val="Arial"/>
      <family val="2"/>
    </font>
    <font>
      <b/>
      <sz val="12"/>
      <color theme="0"/>
      <name val="Arial"/>
      <family val="2"/>
    </font>
    <font>
      <b/>
      <i/>
      <sz val="12"/>
      <color rgb="FFBFBFBF"/>
      <name val="Arial"/>
      <family val="2"/>
    </font>
    <font>
      <b/>
      <sz val="12"/>
      <color rgb="FFFFFFFF"/>
      <name val="Arial"/>
      <family val="2"/>
    </font>
    <font>
      <b/>
      <i/>
      <u/>
      <sz val="12"/>
      <color rgb="FFF2F2F2"/>
      <name val="Arial"/>
      <family val="2"/>
    </font>
    <font>
      <b/>
      <sz val="12"/>
      <color rgb="FFBFBFBF"/>
      <name val="Arial"/>
      <family val="2"/>
    </font>
    <font>
      <b/>
      <i/>
      <u/>
      <sz val="12"/>
      <color theme="1"/>
      <name val="Arial"/>
      <family val="2"/>
    </font>
    <font>
      <b/>
      <i/>
      <u/>
      <sz val="12"/>
      <color theme="0"/>
      <name val="Arial"/>
      <family val="2"/>
    </font>
    <font>
      <sz val="10"/>
      <color theme="1"/>
      <name val="Arial"/>
      <family val="2"/>
    </font>
    <font>
      <b/>
      <sz val="9"/>
      <color theme="0"/>
      <name val="Arial"/>
      <family val="2"/>
    </font>
    <font>
      <b/>
      <sz val="9"/>
      <color theme="1"/>
      <name val="Arial"/>
      <family val="2"/>
    </font>
    <font>
      <sz val="12"/>
      <color rgb="FFFFFFFF"/>
      <name val="Arial"/>
      <family val="2"/>
    </font>
    <font>
      <b/>
      <i/>
      <sz val="10"/>
      <color theme="1"/>
      <name val="Arial"/>
      <family val="2"/>
    </font>
    <font>
      <sz val="10"/>
      <color rgb="FF000000"/>
      <name val="Arial"/>
      <family val="2"/>
      <scheme val="minor"/>
    </font>
    <font>
      <b/>
      <sz val="10"/>
      <name val="Montserrat"/>
    </font>
  </fonts>
  <fills count="11">
    <fill>
      <patternFill patternType="none"/>
    </fill>
    <fill>
      <patternFill patternType="gray125"/>
    </fill>
    <fill>
      <patternFill patternType="solid">
        <fgColor rgb="FFFFFF00"/>
        <bgColor rgb="FFFFFF00"/>
      </patternFill>
    </fill>
    <fill>
      <patternFill patternType="solid">
        <fgColor rgb="FF1F497D"/>
        <bgColor rgb="FF1F497D"/>
      </patternFill>
    </fill>
    <fill>
      <patternFill patternType="solid">
        <fgColor rgb="FF00B0F0"/>
        <bgColor rgb="FF00B0F0"/>
      </patternFill>
    </fill>
    <fill>
      <patternFill patternType="solid">
        <fgColor theme="0"/>
        <bgColor theme="0"/>
      </patternFill>
    </fill>
    <fill>
      <patternFill patternType="solid">
        <fgColor rgb="FFB6DDE8"/>
        <bgColor rgb="FFB6DDE8"/>
      </patternFill>
    </fill>
    <fill>
      <patternFill patternType="solid">
        <fgColor rgb="FFB7DEE8"/>
        <bgColor rgb="FFB7DEE8"/>
      </patternFill>
    </fill>
    <fill>
      <patternFill patternType="solid">
        <fgColor rgb="FFC0C0C0"/>
        <bgColor rgb="FFC0C0C0"/>
      </patternFill>
    </fill>
    <fill>
      <patternFill patternType="solid">
        <fgColor rgb="FFFFFF99"/>
        <bgColor rgb="FFFFFF99"/>
      </patternFill>
    </fill>
    <fill>
      <patternFill patternType="solid">
        <fgColor theme="1"/>
        <bgColor theme="1"/>
      </patternFill>
    </fill>
  </fills>
  <borders count="42">
    <border>
      <left/>
      <right/>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style="medium">
        <color rgb="FF000000"/>
      </top>
      <bottom/>
      <diagonal/>
    </border>
    <border>
      <left/>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double">
        <color rgb="FF000000"/>
      </top>
      <bottom style="medium">
        <color rgb="FF000000"/>
      </bottom>
      <diagonal/>
    </border>
    <border>
      <left style="medium">
        <color rgb="FF000000"/>
      </left>
      <right style="medium">
        <color rgb="FF000000"/>
      </right>
      <top style="double">
        <color rgb="FF000000"/>
      </top>
      <bottom style="medium">
        <color rgb="FF000000"/>
      </bottom>
      <diagonal/>
    </border>
    <border>
      <left/>
      <right style="medium">
        <color rgb="FF000000"/>
      </right>
      <top style="double">
        <color rgb="FF000000"/>
      </top>
      <bottom style="medium">
        <color rgb="FF000000"/>
      </bottom>
      <diagonal/>
    </border>
    <border>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style="medium">
        <color rgb="FF000000"/>
      </left>
      <right/>
      <top/>
      <bottom/>
      <diagonal/>
    </border>
    <border>
      <left style="medium">
        <color rgb="FF000000"/>
      </left>
      <right style="medium">
        <color rgb="FF000000"/>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7" fillId="0" borderId="0" applyFont="0" applyFill="0" applyBorder="0" applyAlignment="0" applyProtection="0"/>
    <xf numFmtId="0" fontId="1" fillId="0" borderId="13"/>
  </cellStyleXfs>
  <cellXfs count="111">
    <xf numFmtId="0" fontId="0" fillId="0" borderId="0" xfId="0"/>
    <xf numFmtId="0" fontId="2" fillId="0" borderId="1" xfId="0" applyFont="1" applyBorder="1"/>
    <xf numFmtId="0" fontId="3" fillId="0" borderId="1" xfId="0" applyFont="1" applyBorder="1"/>
    <xf numFmtId="0" fontId="3" fillId="0" borderId="0" xfId="0" applyFont="1"/>
    <xf numFmtId="0" fontId="4" fillId="0" borderId="0" xfId="0" applyFont="1" applyAlignment="1">
      <alignment horizontal="right"/>
    </xf>
    <xf numFmtId="0" fontId="4" fillId="0" borderId="0" xfId="0" applyFont="1"/>
    <xf numFmtId="0" fontId="5" fillId="3" borderId="2" xfId="0" applyFont="1" applyFill="1" applyBorder="1" applyAlignment="1">
      <alignment horizontal="center" wrapText="1"/>
    </xf>
    <xf numFmtId="0" fontId="5" fillId="3" borderId="3" xfId="0" applyFont="1" applyFill="1" applyBorder="1" applyAlignment="1">
      <alignment horizontal="center" wrapText="1"/>
    </xf>
    <xf numFmtId="0" fontId="5" fillId="3" borderId="4" xfId="0" applyFont="1" applyFill="1" applyBorder="1" applyAlignment="1">
      <alignment horizontal="center" wrapText="1"/>
    </xf>
    <xf numFmtId="0" fontId="3" fillId="0" borderId="0" xfId="0" applyFont="1" applyAlignment="1">
      <alignment wrapText="1"/>
    </xf>
    <xf numFmtId="0" fontId="2" fillId="4" borderId="5" xfId="0" applyFont="1" applyFill="1" applyBorder="1" applyAlignment="1">
      <alignment horizontal="left" wrapText="1"/>
    </xf>
    <xf numFmtId="0" fontId="2" fillId="4" borderId="6" xfId="0" applyFont="1" applyFill="1" applyBorder="1" applyAlignment="1">
      <alignment horizontal="center" wrapText="1"/>
    </xf>
    <xf numFmtId="0" fontId="2" fillId="4" borderId="7" xfId="0" applyFont="1" applyFill="1" applyBorder="1" applyAlignment="1">
      <alignment horizontal="center" wrapText="1"/>
    </xf>
    <xf numFmtId="0" fontId="3" fillId="0" borderId="8" xfId="0" applyFont="1" applyBorder="1"/>
    <xf numFmtId="164" fontId="3" fillId="0" borderId="8" xfId="0" applyNumberFormat="1" applyFont="1" applyBorder="1"/>
    <xf numFmtId="0" fontId="2" fillId="0" borderId="8" xfId="0" applyFont="1" applyBorder="1"/>
    <xf numFmtId="0" fontId="2" fillId="5" borderId="9" xfId="0" applyFont="1" applyFill="1" applyBorder="1"/>
    <xf numFmtId="164" fontId="2" fillId="5" borderId="10" xfId="0" applyNumberFormat="1" applyFont="1" applyFill="1" applyBorder="1"/>
    <xf numFmtId="0" fontId="2" fillId="5" borderId="11" xfId="0" applyFont="1" applyFill="1" applyBorder="1"/>
    <xf numFmtId="164" fontId="2" fillId="4" borderId="6" xfId="0" applyNumberFormat="1" applyFont="1" applyFill="1" applyBorder="1" applyAlignment="1">
      <alignment horizontal="center" wrapText="1"/>
    </xf>
    <xf numFmtId="0" fontId="4" fillId="2" borderId="12" xfId="0" applyFont="1" applyFill="1" applyBorder="1"/>
    <xf numFmtId="0" fontId="6" fillId="4" borderId="13" xfId="0" applyFont="1" applyFill="1" applyBorder="1"/>
    <xf numFmtId="0" fontId="3" fillId="4" borderId="13" xfId="0" applyFont="1" applyFill="1" applyBorder="1"/>
    <xf numFmtId="0" fontId="5" fillId="3" borderId="14" xfId="0" applyFont="1" applyFill="1" applyBorder="1" applyAlignment="1">
      <alignment horizontal="center" vertical="center" wrapText="1"/>
    </xf>
    <xf numFmtId="5" fontId="5" fillId="3" borderId="15" xfId="0" applyNumberFormat="1" applyFont="1" applyFill="1" applyBorder="1" applyAlignment="1">
      <alignment horizontal="center" vertical="center" wrapText="1"/>
    </xf>
    <xf numFmtId="0" fontId="5" fillId="3" borderId="16" xfId="0" applyFont="1" applyFill="1" applyBorder="1" applyAlignment="1">
      <alignment horizontal="center" vertical="center" wrapText="1"/>
    </xf>
    <xf numFmtId="0" fontId="7" fillId="3" borderId="14" xfId="0" applyFont="1" applyFill="1" applyBorder="1" applyAlignment="1">
      <alignment wrapText="1"/>
    </xf>
    <xf numFmtId="0" fontId="7" fillId="3" borderId="15" xfId="0" applyFont="1" applyFill="1" applyBorder="1" applyAlignment="1">
      <alignment wrapText="1"/>
    </xf>
    <xf numFmtId="0" fontId="7" fillId="3" borderId="16" xfId="0" applyFont="1" applyFill="1" applyBorder="1" applyAlignment="1">
      <alignment wrapText="1"/>
    </xf>
    <xf numFmtId="0" fontId="2" fillId="6" borderId="14" xfId="0" applyFont="1" applyFill="1" applyBorder="1" applyAlignment="1">
      <alignment horizontal="left"/>
    </xf>
    <xf numFmtId="5" fontId="2" fillId="6" borderId="15" xfId="0" applyNumberFormat="1" applyFont="1" applyFill="1" applyBorder="1" applyAlignment="1">
      <alignment horizontal="center"/>
    </xf>
    <xf numFmtId="5" fontId="2" fillId="6" borderId="16" xfId="0" applyNumberFormat="1" applyFont="1" applyFill="1" applyBorder="1"/>
    <xf numFmtId="0" fontId="3" fillId="0" borderId="17" xfId="0" applyFont="1" applyBorder="1" applyAlignment="1">
      <alignment horizontal="left"/>
    </xf>
    <xf numFmtId="164" fontId="3" fillId="0" borderId="18" xfId="0" applyNumberFormat="1" applyFont="1" applyBorder="1"/>
    <xf numFmtId="0" fontId="3" fillId="0" borderId="17" xfId="0" applyFont="1" applyBorder="1"/>
    <xf numFmtId="0" fontId="3" fillId="0" borderId="18" xfId="0" applyFont="1" applyBorder="1"/>
    <xf numFmtId="0" fontId="3" fillId="0" borderId="19" xfId="0" applyFont="1" applyBorder="1"/>
    <xf numFmtId="0" fontId="3" fillId="0" borderId="21" xfId="0" applyFont="1" applyBorder="1"/>
    <xf numFmtId="0" fontId="3" fillId="0" borderId="22" xfId="0" applyFont="1" applyBorder="1"/>
    <xf numFmtId="0" fontId="2" fillId="7" borderId="14" xfId="0" applyFont="1" applyFill="1" applyBorder="1"/>
    <xf numFmtId="0" fontId="2" fillId="7" borderId="15" xfId="0" applyFont="1" applyFill="1" applyBorder="1"/>
    <xf numFmtId="0" fontId="2" fillId="7" borderId="16" xfId="0" applyFont="1" applyFill="1" applyBorder="1"/>
    <xf numFmtId="0" fontId="2" fillId="6" borderId="14" xfId="0" applyFont="1" applyFill="1" applyBorder="1"/>
    <xf numFmtId="0" fontId="3" fillId="0" borderId="23" xfId="0" applyFont="1" applyBorder="1"/>
    <xf numFmtId="164" fontId="3" fillId="0" borderId="24" xfId="0" applyNumberFormat="1" applyFont="1" applyBorder="1"/>
    <xf numFmtId="164" fontId="3" fillId="0" borderId="25" xfId="0" applyNumberFormat="1" applyFont="1" applyBorder="1"/>
    <xf numFmtId="0" fontId="3" fillId="0" borderId="26" xfId="0" applyFont="1" applyBorder="1"/>
    <xf numFmtId="0" fontId="3" fillId="0" borderId="27" xfId="0" applyFont="1" applyBorder="1"/>
    <xf numFmtId="0" fontId="3" fillId="0" borderId="28" xfId="0" applyFont="1" applyBorder="1"/>
    <xf numFmtId="0" fontId="8" fillId="4" borderId="13" xfId="0" applyFont="1" applyFill="1" applyBorder="1"/>
    <xf numFmtId="0" fontId="5" fillId="3" borderId="15" xfId="0" applyFont="1" applyFill="1" applyBorder="1" applyAlignment="1">
      <alignment horizontal="center" vertical="center" wrapText="1"/>
    </xf>
    <xf numFmtId="0" fontId="3" fillId="0" borderId="20" xfId="0" applyFont="1" applyBorder="1"/>
    <xf numFmtId="0" fontId="4" fillId="0" borderId="29" xfId="0" applyFont="1" applyBorder="1" applyAlignment="1">
      <alignment horizontal="right"/>
    </xf>
    <xf numFmtId="0" fontId="3" fillId="2" borderId="8" xfId="0" applyFont="1" applyFill="1" applyBorder="1"/>
    <xf numFmtId="0" fontId="9" fillId="4" borderId="13" xfId="0" applyFont="1" applyFill="1" applyBorder="1"/>
    <xf numFmtId="0" fontId="9" fillId="4" borderId="13" xfId="0" applyFont="1" applyFill="1" applyBorder="1" applyAlignment="1">
      <alignment wrapText="1"/>
    </xf>
    <xf numFmtId="0" fontId="2" fillId="0" borderId="0" xfId="0" applyFont="1" applyAlignment="1">
      <alignment horizontal="center" vertical="center" wrapText="1"/>
    </xf>
    <xf numFmtId="0" fontId="10" fillId="0" borderId="30" xfId="0" applyFont="1" applyBorder="1" applyAlignment="1">
      <alignment horizontal="left"/>
    </xf>
    <xf numFmtId="165" fontId="3" fillId="0" borderId="19" xfId="0" applyNumberFormat="1" applyFont="1" applyBorder="1" applyAlignment="1">
      <alignment horizontal="right"/>
    </xf>
    <xf numFmtId="0" fontId="3" fillId="0" borderId="20" xfId="0" applyFont="1" applyBorder="1" applyAlignment="1">
      <alignment wrapText="1"/>
    </xf>
    <xf numFmtId="0" fontId="3" fillId="0" borderId="30" xfId="0" applyFont="1" applyBorder="1" applyAlignment="1">
      <alignment horizontal="left"/>
    </xf>
    <xf numFmtId="165" fontId="3" fillId="0" borderId="20" xfId="0" applyNumberFormat="1" applyFont="1" applyBorder="1" applyAlignment="1">
      <alignment horizontal="center"/>
    </xf>
    <xf numFmtId="165" fontId="3" fillId="0" borderId="20" xfId="0" applyNumberFormat="1" applyFont="1" applyBorder="1" applyAlignment="1">
      <alignment horizontal="right"/>
    </xf>
    <xf numFmtId="0" fontId="4" fillId="0" borderId="31" xfId="0" applyFont="1" applyBorder="1" applyAlignment="1">
      <alignment horizontal="right"/>
    </xf>
    <xf numFmtId="165" fontId="4" fillId="2" borderId="32" xfId="0" applyNumberFormat="1" applyFont="1" applyFill="1" applyBorder="1" applyAlignment="1">
      <alignment horizontal="right"/>
    </xf>
    <xf numFmtId="0" fontId="4" fillId="8" borderId="33" xfId="0" applyFont="1" applyFill="1" applyBorder="1" applyAlignment="1">
      <alignment wrapText="1"/>
    </xf>
    <xf numFmtId="0" fontId="11" fillId="4" borderId="13" xfId="0" applyFont="1" applyFill="1" applyBorder="1"/>
    <xf numFmtId="165" fontId="3" fillId="0" borderId="18" xfId="0" applyNumberFormat="1" applyFont="1" applyBorder="1" applyAlignment="1">
      <alignment horizontal="right"/>
    </xf>
    <xf numFmtId="165" fontId="3" fillId="0" borderId="27" xfId="0" applyNumberFormat="1" applyFont="1" applyBorder="1" applyAlignment="1">
      <alignment horizontal="right"/>
    </xf>
    <xf numFmtId="165" fontId="3" fillId="0" borderId="34" xfId="0" applyNumberFormat="1" applyFont="1" applyBorder="1" applyAlignment="1">
      <alignment horizontal="right"/>
    </xf>
    <xf numFmtId="0" fontId="3" fillId="0" borderId="34" xfId="0" applyFont="1" applyBorder="1" applyAlignment="1">
      <alignment wrapText="1"/>
    </xf>
    <xf numFmtId="49" fontId="3" fillId="9" borderId="8" xfId="0" applyNumberFormat="1" applyFont="1" applyFill="1" applyBorder="1"/>
    <xf numFmtId="0" fontId="12" fillId="0" borderId="0" xfId="0" applyFont="1"/>
    <xf numFmtId="0" fontId="2" fillId="0" borderId="0" xfId="0" applyFont="1"/>
    <xf numFmtId="0" fontId="5" fillId="3" borderId="15" xfId="0" applyFont="1" applyFill="1" applyBorder="1" applyAlignment="1">
      <alignment horizontal="left" wrapText="1"/>
    </xf>
    <xf numFmtId="3" fontId="5" fillId="3" borderId="15" xfId="0" applyNumberFormat="1" applyFont="1" applyFill="1" applyBorder="1" applyAlignment="1">
      <alignment horizontal="center"/>
    </xf>
    <xf numFmtId="3" fontId="13" fillId="3" borderId="15" xfId="0" applyNumberFormat="1" applyFont="1" applyFill="1" applyBorder="1" applyAlignment="1">
      <alignment horizontal="center"/>
    </xf>
    <xf numFmtId="0" fontId="2" fillId="6" borderId="2" xfId="0" applyFont="1" applyFill="1" applyBorder="1"/>
    <xf numFmtId="6" fontId="2" fillId="6" borderId="4" xfId="0" applyNumberFormat="1" applyFont="1" applyFill="1" applyBorder="1"/>
    <xf numFmtId="6" fontId="14" fillId="8" borderId="4" xfId="0" applyNumberFormat="1" applyFont="1" applyFill="1" applyBorder="1"/>
    <xf numFmtId="0" fontId="3" fillId="0" borderId="35" xfId="0" applyFont="1" applyBorder="1"/>
    <xf numFmtId="6" fontId="2" fillId="0" borderId="36" xfId="0" applyNumberFormat="1" applyFont="1" applyBorder="1"/>
    <xf numFmtId="6" fontId="14" fillId="0" borderId="36" xfId="0" applyNumberFormat="1" applyFont="1" applyBorder="1"/>
    <xf numFmtId="0" fontId="3" fillId="0" borderId="37" xfId="0" applyFont="1" applyBorder="1"/>
    <xf numFmtId="6" fontId="2" fillId="0" borderId="30" xfId="0" applyNumberFormat="1" applyFont="1" applyBorder="1"/>
    <xf numFmtId="6" fontId="14" fillId="0" borderId="30" xfId="0" applyNumberFormat="1" applyFont="1" applyBorder="1"/>
    <xf numFmtId="0" fontId="2" fillId="5" borderId="37" xfId="0" applyFont="1" applyFill="1" applyBorder="1" applyAlignment="1">
      <alignment horizontal="right"/>
    </xf>
    <xf numFmtId="6" fontId="2" fillId="2" borderId="30" xfId="0" applyNumberFormat="1" applyFont="1" applyFill="1" applyBorder="1"/>
    <xf numFmtId="0" fontId="15" fillId="0" borderId="37" xfId="0" applyFont="1" applyBorder="1"/>
    <xf numFmtId="0" fontId="12" fillId="10" borderId="13" xfId="0" applyFont="1" applyFill="1" applyBorder="1"/>
    <xf numFmtId="0" fontId="16" fillId="0" borderId="0" xfId="0" applyFont="1"/>
    <xf numFmtId="5" fontId="2" fillId="6" borderId="15" xfId="0" applyNumberFormat="1" applyFont="1" applyFill="1" applyBorder="1" applyAlignment="1">
      <alignment horizontal="right"/>
    </xf>
    <xf numFmtId="0" fontId="3" fillId="0" borderId="38" xfId="0" applyFont="1" applyBorder="1"/>
    <xf numFmtId="0" fontId="3" fillId="0" borderId="39" xfId="0" applyFont="1" applyBorder="1"/>
    <xf numFmtId="0" fontId="3" fillId="0" borderId="40" xfId="0" applyFont="1" applyBorder="1"/>
    <xf numFmtId="0" fontId="3" fillId="0" borderId="34" xfId="0" applyFont="1" applyBorder="1"/>
    <xf numFmtId="166" fontId="18" fillId="0" borderId="41" xfId="2" applyNumberFormat="1" applyFont="1" applyBorder="1" applyAlignment="1">
      <alignment horizontal="left" indent="1"/>
    </xf>
    <xf numFmtId="44" fontId="3" fillId="0" borderId="34" xfId="1" applyFont="1" applyBorder="1" applyAlignment="1">
      <alignment horizontal="right"/>
    </xf>
    <xf numFmtId="165" fontId="3" fillId="0" borderId="0" xfId="0" applyNumberFormat="1" applyFont="1"/>
    <xf numFmtId="49" fontId="2" fillId="2" borderId="29" xfId="0" applyNumberFormat="1" applyFont="1" applyFill="1" applyBorder="1"/>
    <xf numFmtId="0" fontId="3" fillId="0" borderId="12" xfId="0" applyFont="1" applyBorder="1"/>
    <xf numFmtId="0" fontId="2" fillId="0" borderId="12" xfId="0" applyFont="1" applyBorder="1"/>
    <xf numFmtId="0" fontId="4" fillId="0" borderId="12" xfId="0" applyFont="1" applyBorder="1" applyAlignment="1">
      <alignment horizontal="right"/>
    </xf>
    <xf numFmtId="0" fontId="2" fillId="7" borderId="26" xfId="0" applyFont="1" applyFill="1" applyBorder="1"/>
    <xf numFmtId="0" fontId="2" fillId="7" borderId="27" xfId="0" applyFont="1" applyFill="1" applyBorder="1"/>
    <xf numFmtId="0" fontId="2" fillId="7" borderId="28" xfId="0" applyFont="1" applyFill="1" applyBorder="1"/>
    <xf numFmtId="164" fontId="2" fillId="2" borderId="27" xfId="0" applyNumberFormat="1" applyFont="1" applyFill="1" applyBorder="1"/>
    <xf numFmtId="0" fontId="2" fillId="2" borderId="27" xfId="0" applyFont="1" applyFill="1" applyBorder="1"/>
    <xf numFmtId="0" fontId="3" fillId="0" borderId="12" xfId="0" applyFont="1" applyBorder="1" applyAlignment="1">
      <alignment wrapText="1"/>
    </xf>
    <xf numFmtId="165" fontId="4" fillId="2" borderId="27" xfId="0" applyNumberFormat="1" applyFont="1" applyFill="1" applyBorder="1" applyAlignment="1">
      <alignment horizontal="right"/>
    </xf>
    <xf numFmtId="0" fontId="12" fillId="0" borderId="12" xfId="0" applyFont="1" applyBorder="1"/>
  </cellXfs>
  <cellStyles count="3">
    <cellStyle name="Currency" xfId="1" builtinId="4"/>
    <cellStyle name="Normal" xfId="0" builtinId="0"/>
    <cellStyle name="Normal 10" xfId="2" xr:uid="{F919841E-DE7A-4C00-8034-D4490EF55F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selection sqref="A1:B11"/>
    </sheetView>
  </sheetViews>
  <sheetFormatPr defaultColWidth="12.5703125" defaultRowHeight="15" customHeight="1"/>
  <cols>
    <col min="1" max="1" width="46.42578125" customWidth="1"/>
    <col min="2" max="2" width="28.42578125" customWidth="1"/>
    <col min="3" max="3" width="45" customWidth="1"/>
    <col min="4" max="4" width="9.140625" customWidth="1"/>
    <col min="5" max="5" width="88.7109375" customWidth="1"/>
    <col min="6" max="6" width="9.140625" customWidth="1"/>
    <col min="7" max="26" width="8.5703125" customWidth="1"/>
  </cols>
  <sheetData>
    <row r="1" spans="1:26" ht="15.6">
      <c r="A1" s="1" t="s">
        <v>0</v>
      </c>
      <c r="B1" s="2"/>
      <c r="C1" s="2"/>
      <c r="D1" s="3"/>
      <c r="E1" s="3"/>
      <c r="F1" s="3"/>
      <c r="G1" s="3"/>
      <c r="H1" s="3"/>
      <c r="I1" s="3"/>
      <c r="J1" s="3"/>
      <c r="K1" s="3"/>
      <c r="L1" s="3"/>
      <c r="M1" s="3"/>
      <c r="N1" s="3"/>
      <c r="O1" s="3"/>
      <c r="P1" s="3"/>
      <c r="Q1" s="3"/>
      <c r="R1" s="3"/>
      <c r="S1" s="3"/>
      <c r="T1" s="3"/>
      <c r="U1" s="3"/>
      <c r="V1" s="3"/>
      <c r="W1" s="3"/>
      <c r="X1" s="3"/>
      <c r="Y1" s="3"/>
      <c r="Z1" s="3"/>
    </row>
    <row r="2" spans="1:26" ht="15.6">
      <c r="A2" s="4" t="s">
        <v>1</v>
      </c>
      <c r="B2" s="99" t="s">
        <v>2</v>
      </c>
      <c r="C2" s="3"/>
      <c r="D2" s="100"/>
      <c r="E2" s="100"/>
      <c r="F2" s="100"/>
      <c r="G2" s="100"/>
      <c r="H2" s="100"/>
      <c r="I2" s="100"/>
      <c r="J2" s="100"/>
      <c r="K2" s="100"/>
      <c r="L2" s="100"/>
      <c r="M2" s="100"/>
      <c r="N2" s="100"/>
      <c r="O2" s="100"/>
      <c r="P2" s="100"/>
      <c r="Q2" s="100"/>
      <c r="R2" s="100"/>
      <c r="S2" s="100"/>
      <c r="T2" s="100"/>
      <c r="U2" s="100"/>
      <c r="V2" s="100"/>
      <c r="W2" s="100"/>
      <c r="X2" s="100"/>
      <c r="Y2" s="100"/>
      <c r="Z2" s="100"/>
    </row>
    <row r="3" spans="1:26" ht="15.6">
      <c r="A3" s="5" t="s">
        <v>3</v>
      </c>
      <c r="B3" s="3"/>
      <c r="C3" s="3"/>
      <c r="D3" s="3"/>
      <c r="E3" s="3"/>
      <c r="F3" s="3"/>
      <c r="G3" s="3"/>
      <c r="H3" s="3"/>
      <c r="I3" s="3"/>
      <c r="J3" s="3"/>
      <c r="K3" s="3"/>
      <c r="L3" s="3"/>
      <c r="M3" s="3"/>
      <c r="N3" s="3"/>
      <c r="O3" s="3"/>
      <c r="P3" s="3"/>
      <c r="Q3" s="3"/>
      <c r="R3" s="3"/>
      <c r="S3" s="3"/>
      <c r="T3" s="3"/>
      <c r="U3" s="3"/>
      <c r="V3" s="3"/>
      <c r="W3" s="3"/>
      <c r="X3" s="3"/>
      <c r="Y3" s="3"/>
      <c r="Z3" s="3"/>
    </row>
    <row r="4" spans="1:26" ht="15" customHeight="1">
      <c r="A4" s="3"/>
      <c r="B4" s="3"/>
      <c r="C4" s="3"/>
      <c r="D4" s="3"/>
      <c r="E4" s="3"/>
      <c r="F4" s="3"/>
      <c r="G4" s="3"/>
      <c r="H4" s="3"/>
      <c r="I4" s="3"/>
      <c r="J4" s="3"/>
      <c r="K4" s="3"/>
      <c r="L4" s="3"/>
      <c r="M4" s="3"/>
      <c r="N4" s="3"/>
      <c r="O4" s="3"/>
      <c r="P4" s="3"/>
      <c r="Q4" s="3"/>
      <c r="R4" s="3"/>
      <c r="S4" s="3"/>
      <c r="T4" s="3"/>
      <c r="U4" s="3"/>
      <c r="V4" s="3"/>
      <c r="W4" s="3"/>
      <c r="X4" s="3"/>
      <c r="Y4" s="3"/>
      <c r="Z4" s="3"/>
    </row>
    <row r="5" spans="1:26" ht="29.45" customHeight="1">
      <c r="A5" s="6" t="s">
        <v>4</v>
      </c>
      <c r="B5" s="7" t="s">
        <v>5</v>
      </c>
      <c r="C5" s="8" t="s">
        <v>6</v>
      </c>
      <c r="D5" s="9"/>
      <c r="E5" s="9"/>
      <c r="F5" s="9"/>
      <c r="G5" s="9"/>
      <c r="H5" s="9"/>
      <c r="I5" s="9"/>
      <c r="J5" s="9"/>
      <c r="K5" s="9"/>
      <c r="L5" s="9"/>
      <c r="M5" s="9"/>
      <c r="N5" s="9"/>
      <c r="O5" s="9"/>
      <c r="P5" s="9"/>
      <c r="Q5" s="9"/>
      <c r="R5" s="9"/>
      <c r="S5" s="9"/>
      <c r="T5" s="9"/>
      <c r="U5" s="9"/>
      <c r="V5" s="9"/>
      <c r="W5" s="9"/>
      <c r="X5" s="9"/>
      <c r="Y5" s="9"/>
      <c r="Z5" s="9"/>
    </row>
    <row r="6" spans="1:26" ht="16.5" customHeight="1">
      <c r="A6" s="10" t="s">
        <v>7</v>
      </c>
      <c r="B6" s="11"/>
      <c r="C6" s="12"/>
      <c r="D6" s="9"/>
      <c r="E6" s="9"/>
      <c r="F6" s="9"/>
      <c r="G6" s="9"/>
      <c r="H6" s="9"/>
      <c r="I6" s="9"/>
      <c r="J6" s="9"/>
      <c r="K6" s="9"/>
      <c r="L6" s="9"/>
      <c r="M6" s="9"/>
      <c r="N6" s="9"/>
      <c r="O6" s="9"/>
      <c r="P6" s="9"/>
      <c r="Q6" s="9"/>
      <c r="R6" s="9"/>
      <c r="S6" s="9"/>
      <c r="T6" s="9"/>
      <c r="U6" s="9"/>
      <c r="V6" s="9"/>
      <c r="W6" s="9"/>
      <c r="X6" s="9"/>
      <c r="Y6" s="9"/>
      <c r="Z6" s="9"/>
    </row>
    <row r="7" spans="1:26" ht="15.6">
      <c r="A7" s="13" t="s">
        <v>8</v>
      </c>
      <c r="B7" s="14">
        <f>'2-Implementation Fees'!B15</f>
        <v>2268800</v>
      </c>
      <c r="C7" s="15"/>
      <c r="D7" s="3"/>
      <c r="E7" s="3"/>
      <c r="F7" s="3"/>
      <c r="G7" s="3"/>
      <c r="H7" s="3"/>
      <c r="I7" s="3"/>
      <c r="J7" s="3"/>
      <c r="K7" s="3"/>
      <c r="L7" s="3"/>
      <c r="M7" s="3"/>
      <c r="N7" s="3"/>
      <c r="O7" s="3"/>
      <c r="P7" s="3"/>
      <c r="Q7" s="3"/>
      <c r="R7" s="3"/>
      <c r="S7" s="3"/>
      <c r="T7" s="3"/>
      <c r="U7" s="3"/>
      <c r="V7" s="3"/>
      <c r="W7" s="3"/>
      <c r="X7" s="3"/>
      <c r="Y7" s="3"/>
      <c r="Z7" s="3"/>
    </row>
    <row r="8" spans="1:26" ht="15.6">
      <c r="A8" s="13" t="s">
        <v>9</v>
      </c>
      <c r="B8" s="14">
        <f>SUM('3-Annual Cost Post Go Live'!B15:F15)</f>
        <v>1657368.446337</v>
      </c>
      <c r="C8" s="15"/>
      <c r="D8" s="3"/>
      <c r="E8" s="3"/>
      <c r="F8" s="3"/>
      <c r="G8" s="3"/>
      <c r="H8" s="3"/>
      <c r="I8" s="3"/>
      <c r="J8" s="3"/>
      <c r="K8" s="3"/>
      <c r="L8" s="3"/>
      <c r="M8" s="3"/>
      <c r="N8" s="3"/>
      <c r="O8" s="3"/>
      <c r="P8" s="3"/>
      <c r="Q8" s="3"/>
      <c r="R8" s="3"/>
      <c r="S8" s="3"/>
      <c r="T8" s="3"/>
      <c r="U8" s="3"/>
      <c r="V8" s="3"/>
      <c r="W8" s="3"/>
      <c r="X8" s="3"/>
      <c r="Y8" s="3"/>
      <c r="Z8" s="3"/>
    </row>
    <row r="9" spans="1:26" ht="15.6">
      <c r="A9" s="13" t="s">
        <v>10</v>
      </c>
      <c r="B9" s="14"/>
      <c r="C9" s="13"/>
      <c r="D9" s="3"/>
      <c r="E9" s="3"/>
      <c r="F9" s="3"/>
      <c r="G9" s="3"/>
      <c r="H9" s="3"/>
      <c r="I9" s="3"/>
      <c r="J9" s="3"/>
      <c r="K9" s="3"/>
      <c r="L9" s="3"/>
      <c r="M9" s="3"/>
      <c r="N9" s="3"/>
      <c r="O9" s="3"/>
      <c r="P9" s="3"/>
      <c r="Q9" s="3"/>
      <c r="R9" s="3"/>
      <c r="S9" s="3"/>
      <c r="T9" s="3"/>
      <c r="U9" s="3"/>
      <c r="V9" s="3"/>
      <c r="W9" s="3"/>
      <c r="X9" s="3"/>
      <c r="Y9" s="3"/>
      <c r="Z9" s="3"/>
    </row>
    <row r="10" spans="1:26" ht="17.25" customHeight="1" thickBot="1">
      <c r="A10" s="16"/>
      <c r="B10" s="17"/>
      <c r="C10" s="18"/>
      <c r="D10" s="3"/>
      <c r="E10" s="3"/>
      <c r="F10" s="3"/>
      <c r="G10" s="3"/>
      <c r="H10" s="3"/>
      <c r="I10" s="3"/>
      <c r="J10" s="3"/>
      <c r="K10" s="3"/>
      <c r="L10" s="3"/>
      <c r="M10" s="3"/>
      <c r="N10" s="3"/>
      <c r="O10" s="3"/>
      <c r="P10" s="3"/>
      <c r="Q10" s="3"/>
      <c r="R10" s="3"/>
      <c r="S10" s="3"/>
      <c r="T10" s="3"/>
      <c r="U10" s="3"/>
      <c r="V10" s="3"/>
      <c r="W10" s="3"/>
      <c r="X10" s="3"/>
      <c r="Y10" s="3"/>
      <c r="Z10" s="3"/>
    </row>
    <row r="11" spans="1:26" ht="17.25" customHeight="1">
      <c r="A11" s="10" t="s">
        <v>11</v>
      </c>
      <c r="B11" s="19">
        <f>SUM(B7:B9)</f>
        <v>3926168.446337</v>
      </c>
      <c r="C11" s="12"/>
      <c r="D11" s="3"/>
      <c r="E11" s="3"/>
      <c r="F11" s="3"/>
      <c r="G11" s="3"/>
      <c r="H11" s="3"/>
      <c r="I11" s="3"/>
      <c r="J11" s="3"/>
      <c r="K11" s="3"/>
      <c r="L11" s="3"/>
      <c r="M11" s="3"/>
      <c r="N11" s="3"/>
      <c r="O11" s="3"/>
      <c r="P11" s="3"/>
      <c r="Q11" s="3"/>
      <c r="R11" s="3"/>
      <c r="S11" s="3"/>
      <c r="T11" s="3"/>
      <c r="U11" s="3"/>
      <c r="V11" s="3"/>
      <c r="W11" s="3"/>
      <c r="X11" s="3"/>
      <c r="Y11" s="3"/>
      <c r="Z11" s="3"/>
    </row>
    <row r="12" spans="1:26" ht="15.6">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horizontalCentered="1"/>
  <pageMargins left="0.25" right="0.3" top="1.06" bottom="0.54" header="0" footer="0"/>
  <pageSetup orientation="landscape"/>
  <headerFooter>
    <oddHeader>&amp;C0000FFInternal</oddHeader>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984"/>
  <sheetViews>
    <sheetView tabSelected="1" workbookViewId="0">
      <selection activeCell="B15" sqref="A1:B15"/>
    </sheetView>
  </sheetViews>
  <sheetFormatPr defaultColWidth="12.5703125" defaultRowHeight="15" customHeight="1"/>
  <cols>
    <col min="1" max="1" width="73.85546875" customWidth="1"/>
    <col min="2" max="2" width="26.5703125" bestFit="1" customWidth="1"/>
    <col min="3" max="3" width="37.7109375" customWidth="1"/>
    <col min="4" max="4" width="11.85546875" bestFit="1" customWidth="1"/>
    <col min="5" max="5" width="10.7109375" customWidth="1"/>
    <col min="6" max="6" width="8.140625" customWidth="1"/>
    <col min="7" max="7" width="10.7109375" customWidth="1"/>
    <col min="8" max="8" width="50.5703125" customWidth="1"/>
    <col min="9" max="9" width="22" customWidth="1"/>
    <col min="10" max="10" width="41" customWidth="1"/>
    <col min="11" max="39" width="9.140625" customWidth="1"/>
  </cols>
  <sheetData>
    <row r="1" spans="1:39" ht="15.6">
      <c r="A1" s="101" t="s">
        <v>12</v>
      </c>
      <c r="B1" s="100"/>
      <c r="C1" s="100"/>
      <c r="D1" s="100"/>
      <c r="E1" s="100"/>
      <c r="F1" s="100"/>
      <c r="G1" s="100"/>
      <c r="H1" s="101" t="s">
        <v>12</v>
      </c>
      <c r="I1" s="100" t="s">
        <v>13</v>
      </c>
      <c r="J1" s="100" t="s">
        <v>13</v>
      </c>
      <c r="K1" s="100" t="s">
        <v>13</v>
      </c>
      <c r="L1" s="100" t="s">
        <v>13</v>
      </c>
      <c r="M1" s="100" t="s">
        <v>13</v>
      </c>
      <c r="N1" s="100" t="s">
        <v>13</v>
      </c>
      <c r="O1" s="100" t="s">
        <v>13</v>
      </c>
      <c r="P1" s="100" t="s">
        <v>13</v>
      </c>
      <c r="Q1" s="100" t="s">
        <v>13</v>
      </c>
      <c r="R1" s="100" t="s">
        <v>13</v>
      </c>
      <c r="S1" s="100" t="s">
        <v>13</v>
      </c>
      <c r="T1" s="3"/>
      <c r="U1" s="3"/>
      <c r="V1" s="3"/>
      <c r="W1" s="3"/>
      <c r="X1" s="3"/>
      <c r="Y1" s="3"/>
      <c r="Z1" s="3"/>
      <c r="AA1" s="3"/>
      <c r="AB1" s="3"/>
      <c r="AC1" s="3"/>
      <c r="AD1" s="3"/>
      <c r="AE1" s="3"/>
      <c r="AF1" s="3"/>
      <c r="AG1" s="3"/>
      <c r="AH1" s="3"/>
      <c r="AI1" s="3"/>
      <c r="AJ1" s="3"/>
      <c r="AK1" s="3"/>
      <c r="AL1" s="3"/>
      <c r="AM1" s="3"/>
    </row>
    <row r="2" spans="1:39" ht="15.6">
      <c r="A2" s="102" t="str">
        <f>'1-Summary'!A2</f>
        <v xml:space="preserve">Vendor: </v>
      </c>
      <c r="B2" s="5" t="s">
        <v>2</v>
      </c>
      <c r="C2" s="5"/>
      <c r="D2" s="5"/>
      <c r="E2" s="5"/>
      <c r="F2" s="5"/>
      <c r="G2" s="5"/>
      <c r="H2" s="20" t="s">
        <v>1</v>
      </c>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row>
    <row r="3" spans="1:39" ht="15.6">
      <c r="A3" s="21"/>
      <c r="B3" s="22"/>
      <c r="C3" s="22"/>
      <c r="D3" s="3"/>
      <c r="E3" s="3"/>
      <c r="F3" s="3"/>
      <c r="G3" s="3"/>
      <c r="H3" s="21" t="s">
        <v>13</v>
      </c>
      <c r="I3" s="22" t="s">
        <v>13</v>
      </c>
      <c r="J3" s="22" t="s">
        <v>13</v>
      </c>
      <c r="K3" s="3"/>
      <c r="L3" s="3"/>
      <c r="M3" s="3"/>
      <c r="N3" s="3"/>
      <c r="O3" s="3"/>
      <c r="P3" s="3"/>
      <c r="Q3" s="3"/>
      <c r="R3" s="3"/>
      <c r="S3" s="3"/>
      <c r="T3" s="3"/>
      <c r="U3" s="3"/>
      <c r="V3" s="3"/>
      <c r="W3" s="3"/>
      <c r="X3" s="3"/>
      <c r="Y3" s="3"/>
      <c r="Z3" s="3"/>
      <c r="AA3" s="3"/>
      <c r="AB3" s="3"/>
      <c r="AC3" s="3"/>
      <c r="AD3" s="3"/>
      <c r="AE3" s="3"/>
      <c r="AF3" s="3"/>
      <c r="AG3" s="3"/>
      <c r="AH3" s="3"/>
      <c r="AI3" s="3"/>
      <c r="AJ3" s="3"/>
      <c r="AK3" s="3"/>
      <c r="AL3" s="3"/>
      <c r="AM3" s="3"/>
    </row>
    <row r="4" spans="1:39" ht="30.95">
      <c r="A4" s="23" t="s">
        <v>14</v>
      </c>
      <c r="B4" s="24" t="s">
        <v>15</v>
      </c>
      <c r="C4" s="25" t="s">
        <v>16</v>
      </c>
      <c r="D4" s="3"/>
      <c r="E4" s="3"/>
      <c r="F4" s="3"/>
      <c r="G4" s="3"/>
      <c r="H4" s="26" t="s">
        <v>14</v>
      </c>
      <c r="I4" s="27" t="s">
        <v>15</v>
      </c>
      <c r="J4" s="28" t="s">
        <v>16</v>
      </c>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r="5" spans="1:39" ht="15.95" thickBot="1">
      <c r="A5" s="29" t="s">
        <v>17</v>
      </c>
      <c r="B5" s="91">
        <v>266584</v>
      </c>
      <c r="C5" s="31"/>
      <c r="D5" s="3"/>
      <c r="E5" s="3"/>
      <c r="F5" s="3"/>
      <c r="G5" s="3"/>
      <c r="H5" s="103" t="s">
        <v>17</v>
      </c>
      <c r="I5" s="104" t="s">
        <v>18</v>
      </c>
      <c r="J5" s="105" t="s">
        <v>13</v>
      </c>
      <c r="K5" s="3"/>
      <c r="L5" s="3"/>
      <c r="M5" s="3"/>
      <c r="N5" s="3"/>
      <c r="O5" s="3"/>
      <c r="P5" s="3"/>
      <c r="Q5" s="3"/>
      <c r="R5" s="3"/>
      <c r="S5" s="3"/>
      <c r="T5" s="3"/>
      <c r="U5" s="3"/>
      <c r="V5" s="3"/>
      <c r="W5" s="3"/>
      <c r="X5" s="3"/>
      <c r="Y5" s="3"/>
      <c r="Z5" s="3"/>
      <c r="AA5" s="3"/>
      <c r="AB5" s="3"/>
      <c r="AC5" s="3"/>
      <c r="AD5" s="3"/>
      <c r="AE5" s="3"/>
      <c r="AF5" s="3"/>
      <c r="AG5" s="3"/>
      <c r="AH5" s="3"/>
      <c r="AI5" s="3"/>
      <c r="AJ5" s="3"/>
      <c r="AK5" s="3"/>
      <c r="AL5" s="3"/>
      <c r="AM5" s="3"/>
    </row>
    <row r="6" spans="1:39" ht="15" customHeight="1" thickBot="1">
      <c r="A6" s="29" t="s">
        <v>19</v>
      </c>
      <c r="B6" s="91">
        <v>136128</v>
      </c>
      <c r="C6" s="31"/>
      <c r="D6" s="3"/>
      <c r="E6" s="3"/>
      <c r="F6" s="3"/>
      <c r="G6" s="3"/>
      <c r="H6" s="34" t="s">
        <v>13</v>
      </c>
      <c r="I6" s="35" t="s">
        <v>13</v>
      </c>
      <c r="J6" s="36" t="s">
        <v>13</v>
      </c>
      <c r="K6" s="3"/>
      <c r="L6" s="3"/>
      <c r="M6" s="3"/>
      <c r="N6" s="3"/>
      <c r="O6" s="3"/>
      <c r="P6" s="3"/>
      <c r="Q6" s="3"/>
      <c r="R6" s="3"/>
      <c r="S6" s="3"/>
      <c r="T6" s="3"/>
      <c r="U6" s="3"/>
      <c r="V6" s="3"/>
      <c r="W6" s="3"/>
      <c r="X6" s="3"/>
      <c r="Y6" s="3"/>
      <c r="Z6" s="3"/>
      <c r="AA6" s="3"/>
      <c r="AB6" s="3"/>
      <c r="AC6" s="3"/>
      <c r="AD6" s="3"/>
      <c r="AE6" s="3"/>
      <c r="AF6" s="3"/>
      <c r="AG6" s="3"/>
      <c r="AH6" s="3"/>
      <c r="AI6" s="3"/>
      <c r="AJ6" s="3"/>
      <c r="AK6" s="3"/>
      <c r="AL6" s="3"/>
      <c r="AM6" s="3"/>
    </row>
    <row r="7" spans="1:39" ht="15" customHeight="1" thickBot="1">
      <c r="A7" s="29" t="s">
        <v>20</v>
      </c>
      <c r="B7" s="91">
        <v>930208</v>
      </c>
      <c r="C7" s="31"/>
      <c r="D7" s="3"/>
      <c r="E7" s="3"/>
      <c r="F7" s="3"/>
      <c r="G7" s="3"/>
      <c r="H7" s="37" t="s">
        <v>13</v>
      </c>
      <c r="I7" s="38" t="s">
        <v>13</v>
      </c>
      <c r="J7" s="36" t="s">
        <v>13</v>
      </c>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ht="15" customHeight="1" thickBot="1">
      <c r="A8" s="29" t="s">
        <v>21</v>
      </c>
      <c r="B8" s="91">
        <v>272256</v>
      </c>
      <c r="C8" s="31"/>
      <c r="D8" s="3"/>
      <c r="E8" s="3"/>
      <c r="F8" s="3"/>
      <c r="G8" s="3"/>
      <c r="H8" s="37" t="s">
        <v>13</v>
      </c>
      <c r="I8" s="38" t="s">
        <v>13</v>
      </c>
      <c r="J8" s="36" t="s">
        <v>13</v>
      </c>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ht="15.95" thickBot="1">
      <c r="A9" s="29" t="s">
        <v>22</v>
      </c>
      <c r="B9" s="91">
        <v>204192</v>
      </c>
      <c r="C9" s="31"/>
      <c r="D9" s="3"/>
      <c r="E9" s="3"/>
      <c r="F9" s="3"/>
      <c r="G9" s="3"/>
      <c r="H9" s="39" t="s">
        <v>22</v>
      </c>
      <c r="I9" s="40" t="s">
        <v>13</v>
      </c>
      <c r="J9" s="41" t="s">
        <v>13</v>
      </c>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ht="15.75" customHeight="1" thickBot="1">
      <c r="A10" s="29" t="s">
        <v>23</v>
      </c>
      <c r="B10" s="91">
        <v>22688</v>
      </c>
      <c r="C10" s="31"/>
      <c r="D10" s="3"/>
      <c r="E10" s="3"/>
      <c r="F10" s="3"/>
      <c r="G10" s="3"/>
      <c r="H10" s="39" t="s">
        <v>23</v>
      </c>
      <c r="I10" s="40" t="s">
        <v>13</v>
      </c>
      <c r="J10" s="41" t="s">
        <v>13</v>
      </c>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ht="15.75" customHeight="1" thickBot="1">
      <c r="A11" s="29" t="s">
        <v>24</v>
      </c>
      <c r="B11" s="91">
        <v>136128</v>
      </c>
      <c r="C11" s="31"/>
      <c r="D11" s="3"/>
      <c r="E11" s="3"/>
      <c r="F11" s="3"/>
      <c r="G11" s="3"/>
      <c r="H11" s="39"/>
      <c r="I11" s="40"/>
      <c r="J11" s="41"/>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15.75" customHeight="1" thickBot="1">
      <c r="A12" s="29" t="s">
        <v>25</v>
      </c>
      <c r="B12" s="91">
        <v>181504</v>
      </c>
      <c r="C12" s="31"/>
      <c r="D12" s="3"/>
      <c r="E12" s="3"/>
      <c r="F12" s="3"/>
      <c r="G12" s="3"/>
      <c r="H12" s="39"/>
      <c r="I12" s="40"/>
      <c r="J12" s="41"/>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row>
    <row r="13" spans="1:39" ht="15.75" customHeight="1" thickBot="1">
      <c r="A13" s="42" t="s">
        <v>26</v>
      </c>
      <c r="B13" s="91">
        <v>28360</v>
      </c>
      <c r="C13" s="31"/>
      <c r="D13" s="3"/>
      <c r="E13" s="3"/>
      <c r="F13" s="3"/>
      <c r="G13" s="3"/>
      <c r="H13" s="39"/>
      <c r="I13" s="40"/>
      <c r="J13" s="41"/>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row>
    <row r="14" spans="1:39" ht="15.75" customHeight="1" thickBot="1">
      <c r="A14" s="42" t="s">
        <v>27</v>
      </c>
      <c r="B14" s="91">
        <v>90752</v>
      </c>
      <c r="C14" s="31"/>
      <c r="D14" s="3"/>
      <c r="E14" s="3"/>
      <c r="F14" s="3"/>
      <c r="G14" s="3"/>
      <c r="H14" s="39" t="s">
        <v>27</v>
      </c>
      <c r="I14" s="40" t="s">
        <v>13</v>
      </c>
      <c r="J14" s="41" t="s">
        <v>13</v>
      </c>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row>
    <row r="15" spans="1:39" ht="15.75" customHeight="1" thickBot="1">
      <c r="A15" s="3"/>
      <c r="B15" s="106">
        <f>SUM(B5:B14)</f>
        <v>2268800</v>
      </c>
      <c r="C15" s="3"/>
      <c r="D15" s="3"/>
      <c r="E15" s="3"/>
      <c r="F15" s="3"/>
      <c r="G15" s="3"/>
      <c r="H15" s="3"/>
      <c r="I15" s="107" t="s">
        <v>28</v>
      </c>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row>
    <row r="16" spans="1:39"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row>
    <row r="17" spans="1:39"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row>
    <row r="18" spans="1:39" ht="15.75" customHeight="1">
      <c r="A18" s="49" t="s">
        <v>29</v>
      </c>
      <c r="B18" s="22"/>
      <c r="C18" s="22"/>
      <c r="D18" s="3"/>
      <c r="E18" s="3"/>
      <c r="F18" s="3"/>
      <c r="G18" s="3"/>
      <c r="H18" s="49" t="s">
        <v>29</v>
      </c>
      <c r="I18" s="22" t="s">
        <v>13</v>
      </c>
      <c r="J18" s="22" t="s">
        <v>13</v>
      </c>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spans="1:39" ht="15.75" customHeight="1">
      <c r="A19" s="50" t="s">
        <v>30</v>
      </c>
      <c r="B19" s="24" t="s">
        <v>15</v>
      </c>
      <c r="C19" s="25" t="s">
        <v>16</v>
      </c>
      <c r="D19" s="3"/>
      <c r="E19" s="3"/>
      <c r="F19" s="3"/>
      <c r="G19" s="3"/>
      <c r="H19" s="27" t="s">
        <v>30</v>
      </c>
      <c r="I19" s="28" t="s">
        <v>15</v>
      </c>
      <c r="J19" s="28" t="s">
        <v>16</v>
      </c>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row>
    <row r="20" spans="1:39" ht="15.75" customHeight="1">
      <c r="A20" s="42"/>
      <c r="B20" s="30" t="s">
        <v>18</v>
      </c>
      <c r="C20" s="31" t="s">
        <v>31</v>
      </c>
      <c r="D20" s="3"/>
      <c r="E20" s="3"/>
      <c r="F20" s="3"/>
      <c r="G20" s="3"/>
      <c r="H20" s="103" t="s">
        <v>13</v>
      </c>
      <c r="I20" s="104" t="s">
        <v>18</v>
      </c>
      <c r="J20" s="105" t="s">
        <v>13</v>
      </c>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row>
    <row r="21" spans="1:39" ht="15" customHeight="1">
      <c r="A21" s="34" t="s">
        <v>32</v>
      </c>
      <c r="B21" s="33">
        <f>$B$15*0.1</f>
        <v>226880</v>
      </c>
      <c r="C21" s="96">
        <v>45835</v>
      </c>
      <c r="D21" s="3"/>
      <c r="E21" s="3"/>
      <c r="F21" s="3"/>
      <c r="G21" s="3"/>
      <c r="H21" s="34" t="s">
        <v>13</v>
      </c>
      <c r="I21" s="35" t="s">
        <v>13</v>
      </c>
      <c r="J21" s="51" t="s">
        <v>13</v>
      </c>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row>
    <row r="22" spans="1:39" ht="15" customHeight="1">
      <c r="A22" s="92" t="s">
        <v>33</v>
      </c>
      <c r="B22" s="33">
        <f t="shared" ref="B22:B24" si="0">$B$15*0.1</f>
        <v>226880</v>
      </c>
      <c r="C22" s="96">
        <v>45863</v>
      </c>
      <c r="D22" s="3"/>
      <c r="E22" s="3"/>
      <c r="F22" s="3"/>
      <c r="G22" s="3"/>
      <c r="H22" s="93"/>
      <c r="I22" s="94"/>
      <c r="J22" s="95"/>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row>
    <row r="23" spans="1:39" ht="15" customHeight="1">
      <c r="A23" s="92" t="s">
        <v>34</v>
      </c>
      <c r="B23" s="33">
        <f t="shared" si="0"/>
        <v>226880</v>
      </c>
      <c r="C23" s="96">
        <v>46076</v>
      </c>
      <c r="D23" s="3"/>
      <c r="E23" s="3"/>
      <c r="F23" s="3"/>
      <c r="G23" s="3"/>
      <c r="H23" s="93"/>
      <c r="I23" s="94"/>
      <c r="J23" s="95"/>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row>
    <row r="24" spans="1:39" ht="15" customHeight="1">
      <c r="A24" s="92" t="s">
        <v>35</v>
      </c>
      <c r="B24" s="33">
        <f t="shared" si="0"/>
        <v>226880</v>
      </c>
      <c r="C24" s="96">
        <v>46104</v>
      </c>
      <c r="D24" s="3"/>
      <c r="E24" s="3"/>
      <c r="F24" s="3"/>
      <c r="G24" s="3"/>
      <c r="H24" s="93"/>
      <c r="I24" s="94"/>
      <c r="J24" s="95"/>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row>
    <row r="25" spans="1:39" ht="15" customHeight="1">
      <c r="A25" s="92" t="s">
        <v>36</v>
      </c>
      <c r="B25" s="33">
        <f>$B$15*0.05</f>
        <v>113440</v>
      </c>
      <c r="C25" s="96">
        <v>46132</v>
      </c>
      <c r="D25" s="3"/>
      <c r="E25" s="3"/>
      <c r="F25" s="3"/>
      <c r="G25" s="3"/>
      <c r="H25" s="93"/>
      <c r="I25" s="94"/>
      <c r="J25" s="95"/>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ht="15" customHeight="1">
      <c r="A26" s="92" t="s">
        <v>37</v>
      </c>
      <c r="B26" s="33">
        <f t="shared" ref="B26:B32" si="1">$B$15*0.05</f>
        <v>113440</v>
      </c>
      <c r="C26" s="96">
        <v>46160</v>
      </c>
      <c r="D26" s="3"/>
      <c r="E26" s="3"/>
      <c r="F26" s="3"/>
      <c r="G26" s="3"/>
      <c r="H26" s="93"/>
      <c r="I26" s="94"/>
      <c r="J26" s="95"/>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spans="1:39" ht="15" customHeight="1">
      <c r="A27" s="92" t="s">
        <v>38</v>
      </c>
      <c r="B27" s="33">
        <f t="shared" si="1"/>
        <v>113440</v>
      </c>
      <c r="C27" s="96">
        <v>46188</v>
      </c>
      <c r="D27" s="3"/>
      <c r="E27" s="3"/>
      <c r="F27" s="3"/>
      <c r="G27" s="3"/>
      <c r="H27" s="93"/>
      <c r="I27" s="94"/>
      <c r="J27" s="95"/>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row>
    <row r="28" spans="1:39" ht="15" customHeight="1">
      <c r="A28" s="92" t="s">
        <v>39</v>
      </c>
      <c r="B28" s="33">
        <f t="shared" si="1"/>
        <v>113440</v>
      </c>
      <c r="C28" s="96">
        <v>46216</v>
      </c>
      <c r="D28" s="3"/>
      <c r="E28" s="3"/>
      <c r="F28" s="3"/>
      <c r="G28" s="3"/>
      <c r="H28" s="93"/>
      <c r="I28" s="94"/>
      <c r="J28" s="95"/>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row>
    <row r="29" spans="1:39" ht="15" customHeight="1">
      <c r="A29" s="92" t="s">
        <v>40</v>
      </c>
      <c r="B29" s="33">
        <f t="shared" si="1"/>
        <v>113440</v>
      </c>
      <c r="C29" s="96">
        <v>46244</v>
      </c>
      <c r="D29" s="3"/>
      <c r="E29" s="3"/>
      <c r="F29" s="3"/>
      <c r="G29" s="3"/>
      <c r="H29" s="93"/>
      <c r="I29" s="94"/>
      <c r="J29" s="95"/>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row>
    <row r="30" spans="1:39" ht="15" customHeight="1">
      <c r="A30" s="92" t="s">
        <v>41</v>
      </c>
      <c r="B30" s="33">
        <f t="shared" si="1"/>
        <v>113440</v>
      </c>
      <c r="C30" s="96">
        <v>45824</v>
      </c>
      <c r="D30" s="3"/>
      <c r="E30" s="3"/>
      <c r="F30" s="3"/>
      <c r="G30" s="3"/>
      <c r="H30" s="93"/>
      <c r="I30" s="94"/>
      <c r="J30" s="95"/>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row>
    <row r="31" spans="1:39" ht="15" customHeight="1">
      <c r="A31" s="92" t="s">
        <v>42</v>
      </c>
      <c r="B31" s="33">
        <f t="shared" si="1"/>
        <v>113440</v>
      </c>
      <c r="C31" s="96">
        <v>45852</v>
      </c>
      <c r="D31" s="3"/>
      <c r="E31" s="3"/>
      <c r="F31" s="3"/>
      <c r="G31" s="3"/>
      <c r="H31" s="93"/>
      <c r="I31" s="94"/>
      <c r="J31" s="95"/>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row>
    <row r="32" spans="1:39" ht="15" customHeight="1">
      <c r="A32" s="92" t="s">
        <v>43</v>
      </c>
      <c r="B32" s="33">
        <f t="shared" si="1"/>
        <v>113440</v>
      </c>
      <c r="C32" s="96">
        <v>45317</v>
      </c>
      <c r="D32" s="3"/>
      <c r="E32" s="3"/>
      <c r="F32" s="3"/>
      <c r="G32" s="3"/>
      <c r="H32" s="93"/>
      <c r="I32" s="94"/>
      <c r="J32" s="95"/>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row>
    <row r="33" spans="1:39" ht="15" customHeight="1">
      <c r="A33" s="92" t="s">
        <v>44</v>
      </c>
      <c r="B33" s="33">
        <f t="shared" ref="B33:B34" si="2">$B$15*0.1</f>
        <v>226880</v>
      </c>
      <c r="C33" s="96">
        <v>45852</v>
      </c>
      <c r="D33" s="3"/>
      <c r="E33" s="3"/>
      <c r="F33" s="3"/>
      <c r="G33" s="3"/>
      <c r="H33" s="93"/>
      <c r="I33" s="94"/>
      <c r="J33" s="95"/>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row r="34" spans="1:39" ht="15" customHeight="1">
      <c r="A34" s="92" t="s">
        <v>45</v>
      </c>
      <c r="B34" s="33">
        <f t="shared" si="2"/>
        <v>226880</v>
      </c>
      <c r="C34" s="96">
        <v>45317</v>
      </c>
      <c r="D34" s="3"/>
      <c r="E34" s="3"/>
      <c r="F34" s="3"/>
      <c r="G34" s="3"/>
      <c r="H34" s="93"/>
      <c r="I34" s="94"/>
      <c r="J34" s="95"/>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spans="1:39" ht="15" customHeight="1" thickBot="1">
      <c r="A35" s="43"/>
      <c r="B35" s="44"/>
      <c r="C35" s="45"/>
      <c r="D35" s="3"/>
      <c r="E35" s="3"/>
      <c r="F35" s="3"/>
      <c r="G35" s="3"/>
      <c r="H35" s="46" t="s">
        <v>13</v>
      </c>
      <c r="I35" s="47" t="s">
        <v>13</v>
      </c>
      <c r="J35" s="48" t="s">
        <v>13</v>
      </c>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row>
    <row r="36" spans="1:39" ht="15.75" customHeight="1" thickBot="1">
      <c r="A36" s="3"/>
      <c r="B36" s="106">
        <f>SUM(B21:B35)</f>
        <v>2268800</v>
      </c>
      <c r="C36" s="3"/>
      <c r="D36" s="3"/>
      <c r="E36" s="3"/>
      <c r="F36" s="3"/>
      <c r="G36" s="3"/>
      <c r="H36" s="3"/>
      <c r="I36" s="107" t="s">
        <v>28</v>
      </c>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r="37" spans="1:39"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spans="1:39"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spans="1: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spans="1:39"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spans="1:39" ht="22.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spans="1:39"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r="43" spans="1:39"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r="44" spans="1:39"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spans="1:39"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spans="1:39"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spans="1:39"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r="48" spans="1:39"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r="49" spans="1:3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r="50" spans="1:39"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spans="1:39"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spans="1:39"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r="53" spans="1:39"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r="54" spans="1:39"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spans="1:39"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r="56" spans="1:39"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spans="1:39"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spans="1:39"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spans="1:3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spans="1:39"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spans="1:39"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spans="1:39"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spans="1:39"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spans="1:39"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spans="1:39"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spans="1:39"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spans="1:39"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spans="1:39"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spans="1:3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spans="1:39"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spans="1:39"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spans="1:39"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spans="1:39"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spans="1:39"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spans="1:39"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spans="1:39"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spans="1:39"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spans="1:39"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spans="1:3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spans="1:39"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spans="1:39"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spans="1:39"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spans="1:39"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spans="1:39"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spans="1:39"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spans="1:39"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spans="1:39"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spans="1:39"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spans="1:3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spans="1:39"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spans="1:39"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spans="1:39"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spans="1:39"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spans="1:39"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spans="1:39"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spans="1:39"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spans="1:39"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spans="1:39"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spans="1:3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spans="1:39"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spans="1:39"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spans="1:39"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spans="1:39"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spans="1:39"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spans="1:39"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spans="1:39"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spans="1:39"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spans="1:39"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spans="1:3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spans="1:39"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spans="1:39"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spans="1:39"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spans="1:39"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r="114" spans="1:39"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spans="1:39"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spans="1:39"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spans="1:39"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spans="1:39"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spans="1:3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spans="1:39"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spans="1:39"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spans="1:39"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spans="1:39"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spans="1:39"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spans="1:39"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spans="1:39"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spans="1:39"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spans="1:39"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spans="1:3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spans="1:39"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r="131" spans="1:39"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r="132" spans="1:39"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r="133" spans="1:39"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r="134" spans="1:39"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r="135" spans="1:39"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r="136" spans="1:39"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r="137" spans="1:39"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r="138" spans="1:39"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r="139" spans="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r="140" spans="1:39"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r="141" spans="1:39"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spans="1:39"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r="143" spans="1:39"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r="144" spans="1:39"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r="145" spans="1:39"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r="146" spans="1:39"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r="147" spans="1:39"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r="148" spans="1:39"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r="149" spans="1:3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r="150" spans="1:39"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r="151" spans="1:39"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r="152" spans="1:39"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r="153" spans="1:39"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r="154" spans="1:39"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r="155" spans="1:39"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r="156" spans="1:39"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r="157" spans="1:39"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r="158" spans="1:39"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r="159" spans="1:3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r="160" spans="1:39"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r="161" spans="1:39"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r="162" spans="1:39"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spans="1:39"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r="164" spans="1:39"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r="165" spans="1:39"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r="166" spans="1:39"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r="167" spans="1:39"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r="168" spans="1:39"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r="169" spans="1:3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r="170" spans="1:39"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spans="1:39"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r="172" spans="1:39"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r="173" spans="1:39"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r="174" spans="1:39"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r="175" spans="1:39"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r="176" spans="1:39"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r="177" spans="1:39"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spans="1:39"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r="179" spans="1:3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r="180" spans="1:39"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r="181" spans="1:39"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r="182" spans="1:39"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r="183" spans="1:39"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spans="1:39"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spans="1:39"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spans="1:39"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spans="1:39"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spans="1:39"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spans="1:3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spans="1:39"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spans="1:39"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spans="1:39"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spans="1:39"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spans="1:39"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spans="1:39"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spans="1:39"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spans="1:39"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spans="1:39"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spans="1:3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spans="1:39"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spans="1:39"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spans="1:39"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spans="1:39"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spans="1:39"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spans="1:39"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spans="1:39"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spans="1:39"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spans="1:39"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spans="1:3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spans="1:39"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spans="1:39"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spans="1:39"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spans="1:39"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spans="1:39"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spans="1:39"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spans="1:39"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spans="1:39"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spans="1:39"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spans="1:3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spans="1:39"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spans="1:39"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r="222" spans="1:39"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r="223" spans="1:39"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r="224" spans="1:39"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r="225" spans="1:39"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r="226" spans="1:39"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spans="1:39"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r="228" spans="1:39"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r="229" spans="1:3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r="230" spans="1:39"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r="231" spans="1:39"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r="232" spans="1:39"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r="233" spans="1:39"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r="234" spans="1:39"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r="235" spans="1:39"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r="236" spans="1:39"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row>
    <row r="237" spans="1:39"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row>
    <row r="238" spans="1:39"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row>
    <row r="239" spans="1: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row>
    <row r="240" spans="1:39"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row>
    <row r="241" spans="1:39"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row>
    <row r="242" spans="1:39"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row>
    <row r="243" spans="1:39"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row>
    <row r="244" spans="1:39"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row>
    <row r="245" spans="1:39"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row>
    <row r="246" spans="1:39"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row>
    <row r="247" spans="1:39"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row>
    <row r="248" spans="1:39"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row>
    <row r="249" spans="1:3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row>
    <row r="250" spans="1:39"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row>
    <row r="251" spans="1:39"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row>
    <row r="252" spans="1:39"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row>
    <row r="253" spans="1:39"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row>
    <row r="254" spans="1:39"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row>
    <row r="255" spans="1:39"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row>
    <row r="256" spans="1:39"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row>
    <row r="257" spans="1:39"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row>
    <row r="258" spans="1:39"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row>
    <row r="259" spans="1:3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row>
    <row r="260" spans="1:39"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row>
    <row r="261" spans="1:39"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row>
    <row r="262" spans="1:39"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row>
    <row r="263" spans="1:39"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row>
    <row r="264" spans="1:39"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row>
    <row r="265" spans="1:39"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row>
    <row r="266" spans="1:39"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spans="1:39"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row>
    <row r="268" spans="1:39"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row>
    <row r="269" spans="1:3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row>
    <row r="270" spans="1:39"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row>
    <row r="271" spans="1:39"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row>
    <row r="272" spans="1:39"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row>
    <row r="273" spans="1:39"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row>
    <row r="274" spans="1:39"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row>
    <row r="275" spans="1:39"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row>
    <row r="276" spans="1:39"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row>
    <row r="277" spans="1:39"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row>
    <row r="278" spans="1:39"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row>
    <row r="279" spans="1:3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row>
    <row r="280" spans="1:39"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row>
    <row r="281" spans="1:39"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row>
    <row r="282" spans="1:39"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row>
    <row r="283" spans="1:39"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row>
    <row r="284" spans="1:39"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row>
    <row r="285" spans="1:39"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row>
    <row r="286" spans="1:39"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row>
    <row r="287" spans="1:39"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spans="1:39"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row>
    <row r="289" spans="1:3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row>
    <row r="290" spans="1:39"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row>
    <row r="291" spans="1:39"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row>
    <row r="292" spans="1:39"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row>
    <row r="293" spans="1:39"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row>
    <row r="294" spans="1:39"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row>
    <row r="295" spans="1:39"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row>
    <row r="296" spans="1:39"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row>
    <row r="297" spans="1:39"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row>
    <row r="298" spans="1:39"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row>
    <row r="299" spans="1:3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row>
    <row r="300" spans="1:39"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row>
    <row r="301" spans="1:39"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row>
    <row r="302" spans="1:39"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row>
    <row r="303" spans="1:39"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row>
    <row r="304" spans="1:39"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row>
    <row r="305" spans="1:39"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row>
    <row r="306" spans="1:39"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row>
    <row r="307" spans="1:39"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row>
    <row r="308" spans="1:39"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row>
    <row r="309" spans="1:3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row>
    <row r="310" spans="1:39"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row>
    <row r="311" spans="1:39"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row>
    <row r="312" spans="1:39"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row>
    <row r="313" spans="1:39"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row>
    <row r="314" spans="1:39"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row>
    <row r="315" spans="1:39"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row>
    <row r="316" spans="1:39"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row>
    <row r="317" spans="1:39"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row>
    <row r="318" spans="1:39"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row>
    <row r="319" spans="1:3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row>
    <row r="320" spans="1:39"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row>
    <row r="321" spans="1:39"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row>
    <row r="322" spans="1:39"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row>
    <row r="323" spans="1:39"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row>
    <row r="324" spans="1:39"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row>
    <row r="325" spans="1:39"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row>
    <row r="326" spans="1:39"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row>
    <row r="327" spans="1:39"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row>
    <row r="328" spans="1:39"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row>
    <row r="329" spans="1:3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row>
    <row r="330" spans="1:39"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row>
    <row r="331" spans="1:39"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row>
    <row r="332" spans="1:39"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row>
    <row r="333" spans="1:39"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row>
    <row r="334" spans="1:39"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row>
    <row r="335" spans="1:39"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row>
    <row r="336" spans="1:39"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row>
    <row r="337" spans="1:39"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row>
    <row r="338" spans="1:39"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row>
    <row r="339" spans="1: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row>
    <row r="340" spans="1:39"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row>
    <row r="341" spans="1:39"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row>
    <row r="342" spans="1:39"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row>
    <row r="343" spans="1:39"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row>
    <row r="344" spans="1:39"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row>
    <row r="345" spans="1:39"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row>
    <row r="346" spans="1:39"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row>
    <row r="347" spans="1:39"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row>
    <row r="348" spans="1:39"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row>
    <row r="349" spans="1:3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row>
    <row r="350" spans="1:39"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row>
    <row r="351" spans="1:39"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row>
    <row r="352" spans="1:39"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row>
    <row r="353" spans="1:39"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row>
    <row r="354" spans="1:39"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row>
    <row r="355" spans="1:39"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row>
    <row r="356" spans="1:39"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row>
    <row r="357" spans="1:39"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row>
    <row r="358" spans="1:39"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row>
    <row r="359" spans="1:3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row>
    <row r="360" spans="1:39"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row>
    <row r="361" spans="1:39"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row>
    <row r="362" spans="1:39"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row>
    <row r="363" spans="1:39"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row>
    <row r="364" spans="1:39"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row>
    <row r="365" spans="1:39"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row>
    <row r="366" spans="1:39"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row>
    <row r="367" spans="1:39"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row>
    <row r="368" spans="1:39"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row>
    <row r="369" spans="1:3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row>
    <row r="370" spans="1:39"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row>
    <row r="371" spans="1:39"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row>
    <row r="372" spans="1:39"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row>
    <row r="373" spans="1:39"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row>
    <row r="374" spans="1:39"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row>
    <row r="375" spans="1:39"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row>
    <row r="376" spans="1:39"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row>
    <row r="377" spans="1:39"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row>
    <row r="378" spans="1:39"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row>
    <row r="379" spans="1:3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row>
    <row r="380" spans="1:39"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row>
    <row r="381" spans="1:39"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row>
    <row r="382" spans="1:39"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row>
    <row r="383" spans="1:39"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row>
    <row r="384" spans="1:39"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row>
    <row r="385" spans="1:39"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row>
    <row r="386" spans="1:39"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row>
    <row r="387" spans="1:39"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row>
    <row r="388" spans="1:39"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row>
    <row r="389" spans="1:3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row>
    <row r="390" spans="1:39"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row>
    <row r="391" spans="1:39"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row>
    <row r="392" spans="1:39"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row>
    <row r="393" spans="1:39"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row>
    <row r="394" spans="1:39"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row>
    <row r="395" spans="1:39"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row>
    <row r="396" spans="1:39"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row>
    <row r="397" spans="1:39"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row>
    <row r="398" spans="1:39"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row>
    <row r="399" spans="1:3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row>
    <row r="400" spans="1:39"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row>
    <row r="401" spans="1:39"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row>
    <row r="402" spans="1:39"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row>
    <row r="403" spans="1:39"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row>
    <row r="404" spans="1:39"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row>
    <row r="405" spans="1:39"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row>
    <row r="406" spans="1:39"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row>
    <row r="407" spans="1:39"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row>
    <row r="408" spans="1:39"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row>
    <row r="409" spans="1:3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row>
    <row r="410" spans="1:39"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row>
    <row r="411" spans="1:39"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row>
    <row r="412" spans="1:39"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row>
    <row r="413" spans="1:39"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row>
    <row r="414" spans="1:39"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row>
    <row r="415" spans="1:39"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row>
    <row r="416" spans="1:39"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row>
    <row r="417" spans="1:39"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row>
    <row r="418" spans="1:39"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row>
    <row r="419" spans="1:3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row>
    <row r="420" spans="1:39"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row>
    <row r="421" spans="1:39"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row>
    <row r="422" spans="1:39"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row>
    <row r="423" spans="1:39"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row>
    <row r="424" spans="1:39"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row>
    <row r="425" spans="1:39"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row>
    <row r="426" spans="1:39"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row>
    <row r="427" spans="1:39"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row>
    <row r="428" spans="1:39"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row>
    <row r="429" spans="1:3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row>
    <row r="430" spans="1:39"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row>
    <row r="431" spans="1:39"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row>
    <row r="432" spans="1:39"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row>
    <row r="433" spans="1:39"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row>
    <row r="434" spans="1:39"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row>
    <row r="435" spans="1:39"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row>
    <row r="436" spans="1:39"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row>
    <row r="437" spans="1:39"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row>
    <row r="438" spans="1:39"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row>
    <row r="439" spans="1: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row>
    <row r="440" spans="1:39"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row>
    <row r="441" spans="1:39"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row>
    <row r="442" spans="1:39"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row>
    <row r="443" spans="1:39"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row>
    <row r="444" spans="1:39"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row>
    <row r="445" spans="1:39"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row>
    <row r="446" spans="1:39"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row>
    <row r="447" spans="1:39"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row>
    <row r="448" spans="1:39"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row>
    <row r="449" spans="1:3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row>
    <row r="450" spans="1:39"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row>
    <row r="451" spans="1:39"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row>
    <row r="452" spans="1:39"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row>
    <row r="453" spans="1:39"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row>
    <row r="454" spans="1:39"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row>
    <row r="455" spans="1:39"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row>
    <row r="456" spans="1:39"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row>
    <row r="457" spans="1:39"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row>
    <row r="458" spans="1:39"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row>
    <row r="459" spans="1:3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row>
    <row r="460" spans="1:39"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row>
    <row r="461" spans="1:39"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row>
    <row r="462" spans="1:39"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row>
    <row r="463" spans="1:39"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row>
    <row r="464" spans="1:39"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row>
    <row r="465" spans="1:39"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row>
    <row r="466" spans="1:39"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row>
    <row r="467" spans="1:39"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row>
    <row r="468" spans="1:39"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row>
    <row r="469" spans="1:3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row>
    <row r="470" spans="1:39"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row>
    <row r="471" spans="1:39"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row>
    <row r="472" spans="1:39"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row>
    <row r="473" spans="1:39"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row>
    <row r="474" spans="1:39"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row>
    <row r="475" spans="1:39"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row>
    <row r="476" spans="1:39"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row>
    <row r="477" spans="1:39"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row>
    <row r="478" spans="1:39"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row>
    <row r="479" spans="1:3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row>
    <row r="480" spans="1:39"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row>
    <row r="481" spans="1:39"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row>
    <row r="482" spans="1:39"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row>
    <row r="483" spans="1:39"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row>
    <row r="484" spans="1:39"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row>
    <row r="485" spans="1:39"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row>
    <row r="486" spans="1:39"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row>
    <row r="487" spans="1:39"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row>
    <row r="488" spans="1:39"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row>
    <row r="489" spans="1:3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row>
    <row r="490" spans="1:39"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row>
    <row r="491" spans="1:39"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row>
    <row r="492" spans="1:39"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row>
    <row r="493" spans="1:39"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row>
    <row r="494" spans="1:39"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row>
    <row r="495" spans="1:39"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row>
    <row r="496" spans="1:39"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row>
    <row r="497" spans="1:39"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row>
    <row r="498" spans="1:39"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row>
    <row r="499" spans="1:3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row>
    <row r="500" spans="1:39"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row>
    <row r="501" spans="1:39"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row>
    <row r="502" spans="1:39"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row>
    <row r="503" spans="1:39"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row>
    <row r="504" spans="1:39"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row>
    <row r="505" spans="1:39"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row>
    <row r="506" spans="1:39"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row>
    <row r="507" spans="1:39"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row>
    <row r="508" spans="1:39"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row>
    <row r="509" spans="1:3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row>
    <row r="510" spans="1:39"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row>
    <row r="511" spans="1:39"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row>
    <row r="512" spans="1:39"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row>
    <row r="513" spans="1:39"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row>
    <row r="514" spans="1:39"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row>
    <row r="515" spans="1:39"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row>
    <row r="516" spans="1:39"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row>
    <row r="517" spans="1:39"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row>
    <row r="518" spans="1:39"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row>
    <row r="519" spans="1:3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row>
    <row r="520" spans="1:39"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row>
    <row r="521" spans="1:39"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row>
    <row r="522" spans="1:39"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row>
    <row r="523" spans="1:39"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row>
    <row r="524" spans="1:39"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row>
    <row r="525" spans="1:39"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row>
    <row r="526" spans="1:39"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row>
    <row r="527" spans="1:39"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row>
    <row r="528" spans="1:39"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row>
    <row r="529" spans="1:3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row>
    <row r="530" spans="1:39"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row>
    <row r="531" spans="1:39"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row>
    <row r="532" spans="1:39"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row>
    <row r="533" spans="1:39"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row>
    <row r="534" spans="1:39"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row>
    <row r="535" spans="1:39"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row>
    <row r="536" spans="1:39"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row>
    <row r="537" spans="1:39"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row>
    <row r="538" spans="1:39"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row>
    <row r="539" spans="1: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row>
    <row r="540" spans="1:39"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row>
    <row r="541" spans="1:39"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row>
    <row r="542" spans="1:39"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row>
    <row r="543" spans="1:39"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row>
    <row r="544" spans="1:39"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row>
    <row r="545" spans="1:39"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row>
    <row r="546" spans="1:39"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row>
    <row r="547" spans="1:39"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row>
    <row r="548" spans="1:39"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row>
    <row r="549" spans="1:3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row>
    <row r="550" spans="1:39"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row>
    <row r="551" spans="1:39"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row>
    <row r="552" spans="1:39"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row>
    <row r="553" spans="1:39"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row>
    <row r="554" spans="1:39"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row>
    <row r="555" spans="1:39"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row>
    <row r="556" spans="1:39"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row>
    <row r="557" spans="1:39"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row>
    <row r="558" spans="1:39"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row>
    <row r="559" spans="1:3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row>
    <row r="560" spans="1:39"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row>
    <row r="561" spans="1:39"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row>
    <row r="562" spans="1:39"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row>
    <row r="563" spans="1:39"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row>
    <row r="564" spans="1:39"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row>
    <row r="565" spans="1:39"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row>
    <row r="566" spans="1:39"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row>
    <row r="567" spans="1:39"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row>
    <row r="568" spans="1:39"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row>
    <row r="569" spans="1:3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row>
    <row r="570" spans="1:39"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row>
    <row r="571" spans="1:39"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row>
    <row r="572" spans="1:39"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row>
    <row r="573" spans="1:39"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row>
    <row r="574" spans="1:39"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row>
    <row r="575" spans="1:39"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row>
    <row r="576" spans="1:39"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row>
    <row r="577" spans="1:39"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row>
    <row r="578" spans="1:39"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row>
    <row r="579" spans="1:3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row>
    <row r="580" spans="1:39"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row>
    <row r="581" spans="1:39"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row>
    <row r="582" spans="1:39"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row>
    <row r="583" spans="1:39"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row>
    <row r="584" spans="1:39"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row>
    <row r="585" spans="1:39"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row>
    <row r="586" spans="1:39"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row>
    <row r="587" spans="1:39"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row>
    <row r="588" spans="1:39"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row>
    <row r="589" spans="1:3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row>
    <row r="590" spans="1:39"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row>
    <row r="591" spans="1:39"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row>
    <row r="592" spans="1:39"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row>
    <row r="593" spans="1:39"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row>
    <row r="594" spans="1:39"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row>
    <row r="595" spans="1:39"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row>
    <row r="596" spans="1:39"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row>
    <row r="597" spans="1:39"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row>
    <row r="598" spans="1:39"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row>
    <row r="599" spans="1:3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row>
    <row r="600" spans="1:39"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row>
    <row r="601" spans="1:39"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row>
    <row r="602" spans="1:39"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row>
    <row r="603" spans="1:39"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row>
    <row r="604" spans="1:39"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row>
    <row r="605" spans="1:39"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row>
    <row r="606" spans="1:39"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row>
    <row r="607" spans="1:39"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row>
    <row r="608" spans="1:39"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row>
    <row r="609" spans="1:3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row>
    <row r="610" spans="1:39"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row>
    <row r="611" spans="1:39"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row>
    <row r="612" spans="1:39"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row>
    <row r="613" spans="1:39"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row>
    <row r="614" spans="1:39"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row>
    <row r="615" spans="1:39"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row>
    <row r="616" spans="1:39"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row>
    <row r="617" spans="1:39"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row>
    <row r="618" spans="1:39"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row>
    <row r="619" spans="1:3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row>
    <row r="620" spans="1:39"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row>
    <row r="621" spans="1:39"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row>
    <row r="622" spans="1:39"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row>
    <row r="623" spans="1:39"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row>
    <row r="624" spans="1:39"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row>
    <row r="625" spans="1:39"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row>
    <row r="626" spans="1:39"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row>
    <row r="627" spans="1:39"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row>
    <row r="628" spans="1:39"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row>
    <row r="629" spans="1:3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row>
    <row r="630" spans="1:39"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row>
    <row r="631" spans="1:39"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row>
    <row r="632" spans="1:39"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row>
    <row r="633" spans="1:39"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row>
    <row r="634" spans="1:39"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row>
    <row r="635" spans="1:39"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row>
    <row r="636" spans="1:39"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row>
    <row r="637" spans="1:39"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row>
    <row r="638" spans="1:39"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row>
    <row r="639" spans="1: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row>
    <row r="640" spans="1:39"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row>
    <row r="641" spans="1:39"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row>
    <row r="642" spans="1:39"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row>
    <row r="643" spans="1:39"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row>
    <row r="644" spans="1:39"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row>
    <row r="645" spans="1:39"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row>
    <row r="646" spans="1:39"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row>
    <row r="647" spans="1:39"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row>
    <row r="648" spans="1:39"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row>
    <row r="649" spans="1:3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row>
    <row r="650" spans="1:39"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row>
    <row r="651" spans="1:39"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row>
    <row r="652" spans="1:39"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row>
    <row r="653" spans="1:39"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row>
    <row r="654" spans="1:39"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row>
    <row r="655" spans="1:39"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row>
    <row r="656" spans="1:39"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row>
    <row r="657" spans="1:39"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row>
    <row r="658" spans="1:39"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row>
    <row r="659" spans="1:3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row>
    <row r="660" spans="1:39"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row>
    <row r="661" spans="1:39"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row>
    <row r="662" spans="1:39"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row>
    <row r="663" spans="1:39"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row>
    <row r="664" spans="1:39"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row>
    <row r="665" spans="1:39"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row>
    <row r="666" spans="1:39"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row>
    <row r="667" spans="1:39"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row>
    <row r="668" spans="1:39"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row>
    <row r="669" spans="1:3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row>
    <row r="670" spans="1:39"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row>
    <row r="671" spans="1:39"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row>
    <row r="672" spans="1:39"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row>
    <row r="673" spans="1:39"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row>
    <row r="674" spans="1:39"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row>
    <row r="675" spans="1:39"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row>
    <row r="676" spans="1:39"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row>
    <row r="677" spans="1:39"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row>
    <row r="678" spans="1:39"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row>
    <row r="679" spans="1:3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row>
    <row r="680" spans="1:39"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row>
    <row r="681" spans="1:39"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row>
    <row r="682" spans="1:39"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row>
    <row r="683" spans="1:39"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row>
    <row r="684" spans="1:39"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row>
    <row r="685" spans="1:39"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row>
    <row r="686" spans="1:39"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row>
    <row r="687" spans="1:39"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row>
    <row r="688" spans="1:39"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row>
    <row r="689" spans="1:3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row>
    <row r="690" spans="1:39"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row>
    <row r="691" spans="1:39"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row>
    <row r="692" spans="1:39"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row>
    <row r="693" spans="1:39"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row>
    <row r="694" spans="1:39"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row>
    <row r="695" spans="1:39"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row>
    <row r="696" spans="1:39"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row>
    <row r="697" spans="1:39"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row>
    <row r="698" spans="1:39"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row>
    <row r="699" spans="1:3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row>
    <row r="700" spans="1:39"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row>
    <row r="701" spans="1:39"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row>
    <row r="702" spans="1:39"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row>
    <row r="703" spans="1:39"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row>
    <row r="704" spans="1:39"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row>
    <row r="705" spans="1:39"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row>
    <row r="706" spans="1:39"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row>
    <row r="707" spans="1:39"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row>
    <row r="708" spans="1:39"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row>
    <row r="709" spans="1:3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row>
    <row r="710" spans="1:39"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row>
    <row r="711" spans="1:39"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row>
    <row r="712" spans="1:39"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row>
    <row r="713" spans="1:39"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row>
    <row r="714" spans="1:39"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row>
    <row r="715" spans="1:39"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row>
    <row r="716" spans="1:39"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row>
    <row r="717" spans="1:39"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row>
    <row r="718" spans="1:39"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row>
    <row r="719" spans="1:3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row>
    <row r="720" spans="1:39"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row>
    <row r="721" spans="1:39"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row>
    <row r="722" spans="1:39"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row>
    <row r="723" spans="1:39"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row>
    <row r="724" spans="1:39"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row>
    <row r="725" spans="1:39"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row>
    <row r="726" spans="1:39"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row>
    <row r="727" spans="1:39"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row>
    <row r="728" spans="1:39"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row>
    <row r="729" spans="1:3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row>
    <row r="730" spans="1:39"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row>
    <row r="731" spans="1:39"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row>
    <row r="732" spans="1:39"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row>
    <row r="733" spans="1:39"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row>
    <row r="734" spans="1:39"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row>
    <row r="735" spans="1:39"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row>
    <row r="736" spans="1:39"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row>
    <row r="737" spans="1:39"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row>
    <row r="738" spans="1:39"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row>
    <row r="739" spans="1: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row>
    <row r="740" spans="1:39"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row>
    <row r="741" spans="1:39"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row>
    <row r="742" spans="1:39"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row>
    <row r="743" spans="1:39"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row>
    <row r="744" spans="1:39"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row>
    <row r="745" spans="1:39"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row>
    <row r="746" spans="1:39"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row>
    <row r="747" spans="1:39"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row>
    <row r="748" spans="1:39"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row>
    <row r="749" spans="1:3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row>
    <row r="750" spans="1:39"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row>
    <row r="751" spans="1:39"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row>
    <row r="752" spans="1:39"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row>
    <row r="753" spans="1:39"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row>
    <row r="754" spans="1:39"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row>
    <row r="755" spans="1:39"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row>
    <row r="756" spans="1:39"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row>
    <row r="757" spans="1:39"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row>
    <row r="758" spans="1:39"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row>
    <row r="759" spans="1:3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row>
    <row r="760" spans="1:39"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row>
    <row r="761" spans="1:39"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row>
    <row r="762" spans="1:39"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row>
    <row r="763" spans="1:39"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row>
    <row r="764" spans="1:39"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row>
    <row r="765" spans="1:39"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row>
    <row r="766" spans="1:39"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row>
    <row r="767" spans="1:39"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row>
    <row r="768" spans="1:39"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row>
    <row r="769" spans="1:3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row>
    <row r="770" spans="1:39"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row>
    <row r="771" spans="1:39"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row>
    <row r="772" spans="1:39"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row>
    <row r="773" spans="1:39"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row>
    <row r="774" spans="1:39"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row>
    <row r="775" spans="1:39"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row>
    <row r="776" spans="1:39"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row>
    <row r="777" spans="1:39"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row>
    <row r="778" spans="1:39"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row>
    <row r="779" spans="1:3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row>
    <row r="780" spans="1:39"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row>
    <row r="781" spans="1:39"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row>
    <row r="782" spans="1:39"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row>
    <row r="783" spans="1:39"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row>
    <row r="784" spans="1:39"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row>
    <row r="785" spans="1:39"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row>
    <row r="786" spans="1:39"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row>
    <row r="787" spans="1:39"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row>
    <row r="788" spans="1:39"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row>
    <row r="789" spans="1:3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row>
    <row r="790" spans="1:39"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row>
    <row r="791" spans="1:39"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row>
    <row r="792" spans="1:39"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row>
    <row r="793" spans="1:39"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row>
    <row r="794" spans="1:39"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row>
    <row r="795" spans="1:39"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row>
    <row r="796" spans="1:39"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row>
    <row r="797" spans="1:39"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row>
    <row r="798" spans="1:39"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row>
    <row r="799" spans="1:3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row>
    <row r="800" spans="1:39"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row>
    <row r="801" spans="1:39"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row>
    <row r="802" spans="1:39"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row>
    <row r="803" spans="1:39"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row>
    <row r="804" spans="1:39"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row>
    <row r="805" spans="1:39"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row>
    <row r="806" spans="1:39"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row>
    <row r="807" spans="1:39"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row>
    <row r="808" spans="1:39"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row>
    <row r="809" spans="1:3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row>
    <row r="810" spans="1:39"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row>
    <row r="811" spans="1:39"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row>
    <row r="812" spans="1:39"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row>
    <row r="813" spans="1:39"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row>
    <row r="814" spans="1:39"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row>
    <row r="815" spans="1:39"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row>
    <row r="816" spans="1:39"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row>
    <row r="817" spans="1:39"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row>
    <row r="818" spans="1:39"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row>
    <row r="819" spans="1:3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row>
    <row r="820" spans="1:39"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row>
    <row r="821" spans="1:39"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row>
    <row r="822" spans="1:39"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row>
    <row r="823" spans="1:39"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row>
    <row r="824" spans="1:39"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row>
    <row r="825" spans="1:39"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row>
    <row r="826" spans="1:39"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row>
    <row r="827" spans="1:39"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row>
    <row r="828" spans="1:39"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row>
    <row r="829" spans="1:3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row>
    <row r="830" spans="1:39"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row>
    <row r="831" spans="1:39"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row>
    <row r="832" spans="1:39"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row>
    <row r="833" spans="1:39"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row>
    <row r="834" spans="1:39"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row>
    <row r="835" spans="1:39"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row>
    <row r="836" spans="1:39"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row>
    <row r="837" spans="1:39"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row>
    <row r="838" spans="1:39"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row>
    <row r="839" spans="1: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row>
    <row r="840" spans="1:39"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row>
    <row r="841" spans="1:39"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row>
    <row r="842" spans="1:39"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row>
    <row r="843" spans="1:39"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row>
    <row r="844" spans="1:39"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row>
    <row r="845" spans="1:39"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row>
    <row r="846" spans="1:39"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row>
    <row r="847" spans="1:39"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row>
    <row r="848" spans="1:39"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row>
    <row r="849" spans="1:3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row>
    <row r="850" spans="1:39"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row>
    <row r="851" spans="1:39"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row>
    <row r="852" spans="1:39"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row>
    <row r="853" spans="1:39"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row>
    <row r="854" spans="1:39"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row>
    <row r="855" spans="1:39"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row>
    <row r="856" spans="1:39"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row>
    <row r="857" spans="1:39"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row>
    <row r="858" spans="1:39"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row>
    <row r="859" spans="1:3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row>
    <row r="860" spans="1:39"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row>
    <row r="861" spans="1:39"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row>
    <row r="862" spans="1:39"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row>
    <row r="863" spans="1:39"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row>
    <row r="864" spans="1:39"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row>
    <row r="865" spans="1:39"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row>
    <row r="866" spans="1:39"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row>
    <row r="867" spans="1:39"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row>
    <row r="868" spans="1:39"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row>
    <row r="869" spans="1:3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row>
    <row r="870" spans="1:39"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row>
    <row r="871" spans="1:39"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row>
    <row r="872" spans="1:39"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row>
    <row r="873" spans="1:39"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row>
    <row r="874" spans="1:39"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row>
    <row r="875" spans="1:39"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row>
    <row r="876" spans="1:39"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row>
    <row r="877" spans="1:39"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row>
    <row r="878" spans="1:39"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row>
    <row r="879" spans="1:3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row>
    <row r="880" spans="1:39"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row>
    <row r="881" spans="1:39"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row>
    <row r="882" spans="1:39"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row>
    <row r="883" spans="1:39"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row>
    <row r="884" spans="1:39"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row>
    <row r="885" spans="1:39"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row>
    <row r="886" spans="1:39"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row>
    <row r="887" spans="1:39"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row>
    <row r="888" spans="1:39"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row>
    <row r="889" spans="1:3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row>
    <row r="890" spans="1:39"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row>
    <row r="891" spans="1:39"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row>
    <row r="892" spans="1:39"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row>
    <row r="893" spans="1:39"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row>
    <row r="894" spans="1:39"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row>
    <row r="895" spans="1:39"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row>
    <row r="896" spans="1:39"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row>
    <row r="897" spans="1:39"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row>
    <row r="898" spans="1:39"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row>
    <row r="899" spans="1:3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row>
    <row r="900" spans="1:39"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row>
    <row r="901" spans="1:39"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row>
    <row r="902" spans="1:39"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row>
    <row r="903" spans="1:39"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row>
    <row r="904" spans="1:39"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row>
    <row r="905" spans="1:39"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row>
    <row r="906" spans="1:39"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row>
    <row r="907" spans="1:39"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row>
    <row r="908" spans="1:39"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row>
    <row r="909" spans="1:3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row>
    <row r="910" spans="1:39"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row>
    <row r="911" spans="1:39"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row>
    <row r="912" spans="1:39"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row>
    <row r="913" spans="1:39"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row>
    <row r="914" spans="1:39"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row>
    <row r="915" spans="1:39"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row>
    <row r="916" spans="1:39"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row>
    <row r="917" spans="1:39"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row>
    <row r="918" spans="1:39"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row>
    <row r="919" spans="1:3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row>
    <row r="920" spans="1:39"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row>
    <row r="921" spans="1:39"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row>
    <row r="922" spans="1:39"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row>
    <row r="923" spans="1:39"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row>
    <row r="924" spans="1:39"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row>
    <row r="925" spans="1:39"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row>
    <row r="926" spans="1:39"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row>
    <row r="927" spans="1:39"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row>
    <row r="928" spans="1:39"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row>
    <row r="929" spans="1:3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row>
    <row r="930" spans="1:39"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row>
    <row r="931" spans="1:39"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row>
    <row r="932" spans="1:39"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row>
    <row r="933" spans="1:39"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row>
    <row r="934" spans="1:39"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row>
    <row r="935" spans="1:39"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row>
    <row r="936" spans="1:39"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row>
    <row r="937" spans="1:39"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row>
    <row r="938" spans="1:39"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row>
    <row r="939" spans="1: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row>
    <row r="940" spans="1:39"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row>
    <row r="941" spans="1:39"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row>
    <row r="942" spans="1:39"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row>
    <row r="943" spans="1:39"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row>
    <row r="944" spans="1:39"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row>
    <row r="945" spans="1:39"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row>
    <row r="946" spans="1:39"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row>
    <row r="947" spans="1:39"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row>
    <row r="948" spans="1:39"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row>
    <row r="949" spans="1:3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row>
    <row r="950" spans="1:39"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row>
    <row r="951" spans="1:39"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row>
    <row r="952" spans="1:39"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row>
    <row r="953" spans="1:39"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row>
    <row r="954" spans="1:39"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row>
    <row r="955" spans="1:39"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row>
    <row r="956" spans="1:39"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row>
    <row r="957" spans="1:39"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row>
    <row r="958" spans="1:39"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row>
    <row r="959" spans="1:3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row>
    <row r="960" spans="1:39"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row>
    <row r="961" spans="1:39"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row>
    <row r="962" spans="1:39"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row>
    <row r="963" spans="1:39"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row>
    <row r="964" spans="1:39"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row>
    <row r="965" spans="1:39"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row>
    <row r="966" spans="1:39"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row>
    <row r="967" spans="1:39"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row>
    <row r="968" spans="1:39"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row>
    <row r="969" spans="1:3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row>
    <row r="970" spans="1:39"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row>
    <row r="971" spans="1:39"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row>
    <row r="972" spans="1:39"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row>
    <row r="973" spans="1:39"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row>
    <row r="974" spans="1:39"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row>
    <row r="975" spans="1:39"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row>
    <row r="976" spans="1:39"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row>
    <row r="977" spans="1:39"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row>
    <row r="978" spans="1:39"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row>
    <row r="979" spans="1:3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row>
    <row r="980" spans="1:39"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row>
    <row r="981" spans="1:39"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row>
    <row r="982" spans="1:39"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row>
    <row r="983" spans="1:39"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row>
    <row r="984" spans="1:39"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row>
  </sheetData>
  <printOptions horizontalCentered="1"/>
  <pageMargins left="0.25" right="0.25" top="0.75" bottom="0.75" header="0" footer="0"/>
  <pageSetup fitToHeight="0" orientation="portrait"/>
  <headerFooter>
    <oddHeader>&amp;C0000FFInternal</oddHeader>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96"/>
  <sheetViews>
    <sheetView workbookViewId="0">
      <selection activeCell="F22" sqref="A1:F22"/>
    </sheetView>
  </sheetViews>
  <sheetFormatPr defaultColWidth="12.5703125" defaultRowHeight="15" customHeight="1"/>
  <cols>
    <col min="1" max="1" width="51.5703125" customWidth="1"/>
    <col min="2" max="6" width="18" customWidth="1"/>
    <col min="7" max="7" width="56.7109375" customWidth="1"/>
    <col min="8" max="26" width="8.5703125" customWidth="1"/>
  </cols>
  <sheetData>
    <row r="1" spans="1:26" ht="15" customHeight="1">
      <c r="A1" s="15" t="s">
        <v>46</v>
      </c>
      <c r="B1" s="100"/>
      <c r="C1" s="100"/>
      <c r="D1" s="100"/>
      <c r="E1" s="100"/>
      <c r="F1" s="100"/>
      <c r="G1" s="108"/>
      <c r="H1" s="3"/>
      <c r="I1" s="3"/>
      <c r="J1" s="3"/>
      <c r="K1" s="3"/>
      <c r="L1" s="3"/>
      <c r="M1" s="3"/>
      <c r="N1" s="3"/>
      <c r="O1" s="3"/>
      <c r="P1" s="3"/>
      <c r="Q1" s="3"/>
      <c r="R1" s="3"/>
      <c r="S1" s="3"/>
      <c r="T1" s="3"/>
      <c r="U1" s="3"/>
      <c r="V1" s="3"/>
      <c r="W1" s="3"/>
      <c r="X1" s="3"/>
      <c r="Y1" s="3"/>
      <c r="Z1" s="3"/>
    </row>
    <row r="2" spans="1:26" ht="15" customHeight="1">
      <c r="A2" s="52" t="str">
        <f>'1-Summary'!A2</f>
        <v xml:space="preserve">Vendor: </v>
      </c>
      <c r="B2" s="53" t="s">
        <v>2</v>
      </c>
      <c r="C2" s="3"/>
      <c r="D2" s="3"/>
      <c r="E2" s="3"/>
      <c r="F2" s="3"/>
      <c r="G2" s="9"/>
      <c r="H2" s="3"/>
      <c r="I2" s="3"/>
      <c r="J2" s="3"/>
      <c r="K2" s="3"/>
      <c r="L2" s="3"/>
      <c r="M2" s="3"/>
      <c r="N2" s="3"/>
      <c r="O2" s="3"/>
      <c r="P2" s="3"/>
      <c r="Q2" s="3"/>
      <c r="R2" s="3"/>
      <c r="S2" s="3"/>
      <c r="T2" s="3"/>
      <c r="U2" s="3"/>
      <c r="V2" s="3"/>
      <c r="W2" s="3"/>
      <c r="X2" s="3"/>
      <c r="Y2" s="3"/>
      <c r="Z2" s="3"/>
    </row>
    <row r="3" spans="1:26" ht="15" customHeight="1">
      <c r="A3" s="54"/>
      <c r="B3" s="54"/>
      <c r="C3" s="54"/>
      <c r="D3" s="54"/>
      <c r="E3" s="54"/>
      <c r="F3" s="54"/>
      <c r="G3" s="55"/>
      <c r="H3" s="3"/>
      <c r="I3" s="3"/>
      <c r="J3" s="3"/>
      <c r="K3" s="3"/>
      <c r="L3" s="3"/>
      <c r="M3" s="3"/>
      <c r="N3" s="3"/>
      <c r="O3" s="3"/>
      <c r="P3" s="3"/>
      <c r="Q3" s="3"/>
      <c r="R3" s="3"/>
      <c r="S3" s="3"/>
      <c r="T3" s="3"/>
      <c r="U3" s="3"/>
      <c r="V3" s="3"/>
      <c r="W3" s="3"/>
      <c r="X3" s="3"/>
      <c r="Y3" s="3"/>
      <c r="Z3" s="3"/>
    </row>
    <row r="4" spans="1:26" ht="15" customHeight="1">
      <c r="A4" s="50" t="s">
        <v>47</v>
      </c>
      <c r="B4" s="25" t="s">
        <v>48</v>
      </c>
      <c r="C4" s="25" t="s">
        <v>49</v>
      </c>
      <c r="D4" s="25" t="s">
        <v>50</v>
      </c>
      <c r="E4" s="25" t="s">
        <v>51</v>
      </c>
      <c r="F4" s="25" t="s">
        <v>52</v>
      </c>
      <c r="G4" s="25" t="s">
        <v>16</v>
      </c>
      <c r="H4" s="56"/>
      <c r="I4" s="56"/>
      <c r="J4" s="56"/>
      <c r="K4" s="56"/>
      <c r="L4" s="56"/>
      <c r="M4" s="56"/>
      <c r="N4" s="56"/>
      <c r="O4" s="56"/>
      <c r="P4" s="56"/>
      <c r="Q4" s="56"/>
      <c r="R4" s="56"/>
      <c r="S4" s="56"/>
      <c r="T4" s="56"/>
      <c r="U4" s="56"/>
      <c r="V4" s="56"/>
      <c r="W4" s="56"/>
      <c r="X4" s="56"/>
      <c r="Y4" s="56"/>
      <c r="Z4" s="56"/>
    </row>
    <row r="5" spans="1:26" ht="15" customHeight="1">
      <c r="A5" s="57" t="s">
        <v>53</v>
      </c>
      <c r="B5" s="58">
        <v>299941.92</v>
      </c>
      <c r="C5" s="58">
        <f t="shared" ref="C5:F5" si="0">B5*1.05</f>
        <v>314939.016</v>
      </c>
      <c r="D5" s="58">
        <f t="shared" si="0"/>
        <v>330685.96679999999</v>
      </c>
      <c r="E5" s="58">
        <f t="shared" si="0"/>
        <v>347220.26514000003</v>
      </c>
      <c r="F5" s="58">
        <f t="shared" si="0"/>
        <v>364581.27839700005</v>
      </c>
      <c r="G5" s="59" t="s">
        <v>54</v>
      </c>
      <c r="H5" s="3"/>
      <c r="I5" s="3"/>
      <c r="J5" s="3"/>
      <c r="K5" s="3"/>
      <c r="L5" s="3"/>
      <c r="M5" s="3"/>
      <c r="N5" s="3"/>
      <c r="O5" s="3"/>
      <c r="P5" s="3"/>
      <c r="Q5" s="3"/>
      <c r="R5" s="3"/>
      <c r="S5" s="3"/>
      <c r="T5" s="3"/>
      <c r="U5" s="3"/>
      <c r="V5" s="3"/>
      <c r="W5" s="3"/>
      <c r="X5" s="3"/>
      <c r="Y5" s="3"/>
      <c r="Z5" s="3"/>
    </row>
    <row r="6" spans="1:26" ht="15" customHeight="1">
      <c r="A6" s="60" t="s">
        <v>55</v>
      </c>
      <c r="B6" s="61"/>
      <c r="C6" s="61"/>
      <c r="D6" s="61"/>
      <c r="E6" s="61"/>
      <c r="F6" s="61"/>
      <c r="G6" s="59" t="s">
        <v>56</v>
      </c>
      <c r="H6" s="3"/>
      <c r="I6" s="3"/>
      <c r="J6" s="3"/>
      <c r="K6" s="3"/>
      <c r="L6" s="3"/>
      <c r="M6" s="3"/>
      <c r="N6" s="3"/>
      <c r="O6" s="3"/>
      <c r="P6" s="3"/>
      <c r="Q6" s="3"/>
      <c r="R6" s="3"/>
      <c r="S6" s="3"/>
      <c r="T6" s="3"/>
      <c r="U6" s="3"/>
      <c r="V6" s="3"/>
      <c r="W6" s="3"/>
      <c r="X6" s="3"/>
      <c r="Y6" s="3"/>
      <c r="Z6" s="3"/>
    </row>
    <row r="7" spans="1:26" ht="15" customHeight="1">
      <c r="A7" s="60" t="s">
        <v>57</v>
      </c>
      <c r="B7" s="61"/>
      <c r="C7" s="61"/>
      <c r="D7" s="61"/>
      <c r="E7" s="61"/>
      <c r="F7" s="61"/>
      <c r="G7" s="59" t="s">
        <v>58</v>
      </c>
      <c r="H7" s="3"/>
      <c r="I7" s="3"/>
      <c r="J7" s="3"/>
      <c r="K7" s="3"/>
      <c r="L7" s="3"/>
      <c r="M7" s="3"/>
      <c r="N7" s="3"/>
      <c r="O7" s="3"/>
      <c r="P7" s="3"/>
      <c r="Q7" s="3"/>
      <c r="R7" s="3"/>
      <c r="S7" s="3"/>
      <c r="T7" s="3"/>
      <c r="U7" s="3"/>
      <c r="V7" s="3"/>
      <c r="W7" s="3"/>
      <c r="X7" s="3"/>
      <c r="Y7" s="3"/>
      <c r="Z7" s="3"/>
    </row>
    <row r="8" spans="1:26" ht="15" customHeight="1">
      <c r="A8" s="60" t="s">
        <v>59</v>
      </c>
      <c r="B8" s="61"/>
      <c r="C8" s="61"/>
      <c r="D8" s="61"/>
      <c r="E8" s="61"/>
      <c r="F8" s="61"/>
      <c r="G8" s="59" t="s">
        <v>60</v>
      </c>
      <c r="H8" s="3"/>
      <c r="I8" s="3"/>
      <c r="J8" s="3"/>
      <c r="K8" s="3"/>
      <c r="L8" s="3"/>
      <c r="M8" s="3"/>
      <c r="N8" s="3"/>
      <c r="O8" s="3"/>
      <c r="P8" s="3"/>
      <c r="Q8" s="3"/>
      <c r="R8" s="3"/>
      <c r="S8" s="3"/>
      <c r="T8" s="3"/>
      <c r="U8" s="3"/>
      <c r="V8" s="3"/>
      <c r="W8" s="3"/>
      <c r="X8" s="3"/>
      <c r="Y8" s="3"/>
      <c r="Z8" s="3"/>
    </row>
    <row r="9" spans="1:26" ht="15" customHeight="1">
      <c r="A9" s="60" t="s">
        <v>61</v>
      </c>
      <c r="B9" s="61"/>
      <c r="C9" s="61"/>
      <c r="D9" s="61"/>
      <c r="E9" s="61"/>
      <c r="F9" s="61"/>
      <c r="G9" s="59" t="s">
        <v>62</v>
      </c>
      <c r="H9" s="3"/>
      <c r="I9" s="3"/>
      <c r="J9" s="3"/>
      <c r="K9" s="3"/>
      <c r="L9" s="3"/>
      <c r="M9" s="3"/>
      <c r="N9" s="3"/>
      <c r="O9" s="3"/>
      <c r="P9" s="3"/>
      <c r="Q9" s="3"/>
      <c r="R9" s="3"/>
      <c r="S9" s="3"/>
      <c r="T9" s="3"/>
      <c r="U9" s="3"/>
      <c r="V9" s="3"/>
      <c r="W9" s="3"/>
      <c r="X9" s="3"/>
      <c r="Y9" s="3"/>
      <c r="Z9" s="3"/>
    </row>
    <row r="10" spans="1:26" ht="15" customHeight="1">
      <c r="A10" s="60" t="s">
        <v>63</v>
      </c>
      <c r="B10" s="61"/>
      <c r="C10" s="61"/>
      <c r="D10" s="61"/>
      <c r="E10" s="61"/>
      <c r="F10" s="61"/>
      <c r="G10" s="59" t="s">
        <v>64</v>
      </c>
      <c r="H10" s="3"/>
      <c r="I10" s="3"/>
      <c r="J10" s="3"/>
      <c r="K10" s="3"/>
      <c r="L10" s="3"/>
      <c r="M10" s="3"/>
      <c r="N10" s="3"/>
      <c r="O10" s="3"/>
      <c r="P10" s="3"/>
      <c r="Q10" s="3"/>
      <c r="R10" s="3"/>
      <c r="S10" s="3"/>
      <c r="T10" s="3"/>
      <c r="U10" s="3"/>
      <c r="V10" s="3"/>
      <c r="W10" s="3"/>
      <c r="X10" s="3"/>
      <c r="Y10" s="3"/>
      <c r="Z10" s="3"/>
    </row>
    <row r="11" spans="1:26" ht="15" customHeight="1">
      <c r="A11" s="60" t="s">
        <v>65</v>
      </c>
      <c r="B11" s="61"/>
      <c r="C11" s="61"/>
      <c r="D11" s="61"/>
      <c r="E11" s="61"/>
      <c r="F11" s="61"/>
      <c r="H11" s="3"/>
      <c r="I11" s="3"/>
      <c r="J11" s="3"/>
      <c r="K11" s="3"/>
      <c r="L11" s="3"/>
      <c r="M11" s="3"/>
      <c r="N11" s="3"/>
      <c r="O11" s="3"/>
      <c r="P11" s="3"/>
      <c r="Q11" s="3"/>
      <c r="R11" s="3"/>
      <c r="S11" s="3"/>
      <c r="T11" s="3"/>
      <c r="U11" s="3"/>
      <c r="V11" s="3"/>
      <c r="W11" s="3"/>
      <c r="X11" s="3"/>
      <c r="Y11" s="3"/>
      <c r="Z11" s="3"/>
    </row>
    <row r="12" spans="1:26" ht="15" customHeight="1">
      <c r="A12" s="60" t="s">
        <v>66</v>
      </c>
      <c r="B12" s="61"/>
      <c r="C12" s="61"/>
      <c r="D12" s="61"/>
      <c r="E12" s="61"/>
      <c r="F12" s="61"/>
      <c r="G12" s="59"/>
      <c r="H12" s="3"/>
      <c r="I12" s="3"/>
      <c r="J12" s="3"/>
      <c r="K12" s="3"/>
      <c r="L12" s="3"/>
      <c r="M12" s="3"/>
      <c r="N12" s="3"/>
      <c r="O12" s="3"/>
      <c r="P12" s="3"/>
      <c r="Q12" s="3"/>
      <c r="R12" s="3"/>
      <c r="S12" s="3"/>
      <c r="T12" s="3"/>
      <c r="U12" s="3"/>
      <c r="V12" s="3"/>
      <c r="W12" s="3"/>
      <c r="X12" s="3"/>
      <c r="Y12" s="3"/>
      <c r="Z12" s="3"/>
    </row>
    <row r="13" spans="1:26" ht="15" customHeight="1">
      <c r="A13" s="60" t="s">
        <v>67</v>
      </c>
      <c r="B13" s="61"/>
      <c r="C13" s="61"/>
      <c r="D13" s="61"/>
      <c r="E13" s="61"/>
      <c r="F13" s="61"/>
      <c r="G13" s="59"/>
      <c r="H13" s="3"/>
      <c r="I13" s="3"/>
      <c r="J13" s="3"/>
      <c r="K13" s="3"/>
      <c r="L13" s="3"/>
      <c r="M13" s="3"/>
      <c r="N13" s="3"/>
      <c r="O13" s="3"/>
      <c r="P13" s="3"/>
      <c r="Q13" s="3"/>
      <c r="R13" s="3"/>
      <c r="S13" s="3"/>
      <c r="T13" s="3"/>
      <c r="U13" s="3"/>
      <c r="V13" s="3"/>
      <c r="W13" s="3"/>
      <c r="X13" s="3"/>
      <c r="Y13" s="3"/>
      <c r="Z13" s="3"/>
    </row>
    <row r="14" spans="1:26" ht="15" customHeight="1" thickBot="1">
      <c r="A14" s="60" t="s">
        <v>68</v>
      </c>
      <c r="B14" s="61"/>
      <c r="C14" s="61"/>
      <c r="D14" s="61"/>
      <c r="E14" s="61"/>
      <c r="F14" s="61"/>
      <c r="G14" s="59"/>
      <c r="H14" s="3"/>
      <c r="I14" s="3"/>
      <c r="J14" s="3"/>
      <c r="K14" s="3"/>
      <c r="L14" s="3"/>
      <c r="M14" s="3"/>
      <c r="N14" s="3"/>
      <c r="O14" s="3"/>
      <c r="P14" s="3"/>
      <c r="Q14" s="3"/>
      <c r="R14" s="3"/>
      <c r="S14" s="3"/>
      <c r="T14" s="3"/>
      <c r="U14" s="3"/>
      <c r="V14" s="3"/>
      <c r="W14" s="3"/>
      <c r="X14" s="3"/>
      <c r="Y14" s="3"/>
      <c r="Z14" s="3"/>
    </row>
    <row r="15" spans="1:26" ht="15" customHeight="1" thickTop="1" thickBot="1">
      <c r="A15" s="63" t="s">
        <v>69</v>
      </c>
      <c r="B15" s="64">
        <f>SUM(B5:B14)</f>
        <v>299941.92</v>
      </c>
      <c r="C15" s="64">
        <f>SUM(C5:C14)</f>
        <v>314939.016</v>
      </c>
      <c r="D15" s="64">
        <f>SUM(D5:D14)</f>
        <v>330685.96679999999</v>
      </c>
      <c r="E15" s="64">
        <f>SUM(E5:E14)</f>
        <v>347220.26514000003</v>
      </c>
      <c r="F15" s="64">
        <f>SUM(F5:F14)</f>
        <v>364581.27839700005</v>
      </c>
      <c r="G15" s="65"/>
      <c r="H15" s="3"/>
      <c r="I15" s="3"/>
      <c r="J15" s="3"/>
      <c r="K15" s="3"/>
      <c r="L15" s="3"/>
      <c r="M15" s="3"/>
      <c r="N15" s="3"/>
      <c r="O15" s="3"/>
      <c r="P15" s="3"/>
      <c r="Q15" s="3"/>
      <c r="R15" s="3"/>
      <c r="S15" s="3"/>
      <c r="T15" s="3"/>
      <c r="U15" s="3"/>
      <c r="V15" s="3"/>
      <c r="W15" s="3"/>
      <c r="X15" s="3"/>
      <c r="Y15" s="3"/>
      <c r="Z15" s="3"/>
    </row>
    <row r="16" spans="1:26" ht="15" customHeight="1">
      <c r="A16" s="5"/>
      <c r="B16" s="3"/>
      <c r="C16" s="3"/>
      <c r="D16" s="3"/>
      <c r="E16" s="3"/>
      <c r="F16" s="3"/>
      <c r="G16" s="9"/>
      <c r="H16" s="3"/>
      <c r="I16" s="3"/>
      <c r="J16" s="3"/>
      <c r="K16" s="3"/>
      <c r="L16" s="3"/>
      <c r="M16" s="3"/>
      <c r="N16" s="3"/>
      <c r="O16" s="3"/>
      <c r="P16" s="3"/>
      <c r="Q16" s="3"/>
      <c r="R16" s="3"/>
      <c r="S16" s="3"/>
      <c r="T16" s="3"/>
      <c r="U16" s="3"/>
      <c r="V16" s="3"/>
      <c r="W16" s="3"/>
      <c r="X16" s="3"/>
      <c r="Y16" s="3"/>
      <c r="Z16" s="3"/>
    </row>
    <row r="17" spans="1:26" ht="15" customHeight="1">
      <c r="A17" s="66" t="s">
        <v>70</v>
      </c>
      <c r="B17" s="54"/>
      <c r="C17" s="54"/>
      <c r="D17" s="54"/>
      <c r="E17" s="54"/>
      <c r="F17" s="54"/>
      <c r="G17" s="55"/>
      <c r="H17" s="3"/>
      <c r="I17" s="3"/>
      <c r="J17" s="3"/>
      <c r="K17" s="3"/>
      <c r="L17" s="3"/>
      <c r="M17" s="3"/>
      <c r="N17" s="3"/>
      <c r="O17" s="3"/>
      <c r="P17" s="3"/>
      <c r="Q17" s="3"/>
      <c r="R17" s="3"/>
      <c r="S17" s="3"/>
      <c r="T17" s="3"/>
      <c r="U17" s="3"/>
      <c r="V17" s="3"/>
      <c r="W17" s="3"/>
      <c r="X17" s="3"/>
      <c r="Y17" s="3"/>
      <c r="Z17" s="3"/>
    </row>
    <row r="18" spans="1:26" ht="15" customHeight="1">
      <c r="A18" s="23" t="s">
        <v>47</v>
      </c>
      <c r="B18" s="25" t="s">
        <v>48</v>
      </c>
      <c r="C18" s="25" t="s">
        <v>49</v>
      </c>
      <c r="D18" s="25" t="s">
        <v>50</v>
      </c>
      <c r="E18" s="25" t="s">
        <v>51</v>
      </c>
      <c r="F18" s="25" t="s">
        <v>52</v>
      </c>
      <c r="G18" s="25" t="s">
        <v>16</v>
      </c>
      <c r="H18" s="3"/>
      <c r="I18" s="3"/>
      <c r="J18" s="3"/>
      <c r="K18" s="3"/>
      <c r="L18" s="3"/>
      <c r="M18" s="3"/>
      <c r="N18" s="3"/>
      <c r="O18" s="3"/>
      <c r="P18" s="3"/>
      <c r="Q18" s="3"/>
      <c r="R18" s="3"/>
      <c r="S18" s="3"/>
      <c r="T18" s="3"/>
      <c r="U18" s="3"/>
      <c r="V18" s="3"/>
      <c r="W18" s="3"/>
      <c r="X18" s="3"/>
      <c r="Y18" s="3"/>
      <c r="Z18" s="3"/>
    </row>
    <row r="19" spans="1:26" ht="15" customHeight="1">
      <c r="A19" s="32" t="s">
        <v>71</v>
      </c>
      <c r="B19" s="67">
        <v>25000</v>
      </c>
      <c r="C19" s="62">
        <f t="shared" ref="C19:F19" si="1">B19*1.05</f>
        <v>26250</v>
      </c>
      <c r="D19" s="62">
        <f t="shared" si="1"/>
        <v>27562.5</v>
      </c>
      <c r="E19" s="62">
        <f t="shared" si="1"/>
        <v>28940.625</v>
      </c>
      <c r="F19" s="62">
        <f t="shared" si="1"/>
        <v>30387.65625</v>
      </c>
      <c r="G19" s="59"/>
      <c r="H19" s="3"/>
      <c r="I19" s="3"/>
      <c r="J19" s="3"/>
      <c r="K19" s="3"/>
      <c r="L19" s="3"/>
      <c r="M19" s="3"/>
      <c r="N19" s="3"/>
      <c r="O19" s="3"/>
      <c r="P19" s="3"/>
      <c r="Q19" s="3"/>
      <c r="R19" s="3"/>
      <c r="S19" s="3"/>
      <c r="T19" s="3"/>
      <c r="U19" s="3"/>
      <c r="V19" s="3"/>
      <c r="W19" s="3"/>
      <c r="X19" s="3"/>
      <c r="Y19" s="3"/>
      <c r="Z19" s="3"/>
    </row>
    <row r="20" spans="1:26" ht="15.6">
      <c r="A20" s="32" t="s">
        <v>72</v>
      </c>
      <c r="B20" s="67">
        <v>22500</v>
      </c>
      <c r="C20" s="62"/>
      <c r="D20" s="62"/>
      <c r="E20" s="62"/>
      <c r="F20" s="62"/>
      <c r="G20" s="59"/>
      <c r="H20" s="3"/>
      <c r="I20" s="3"/>
      <c r="J20" s="3"/>
      <c r="K20" s="3"/>
      <c r="L20" s="3"/>
      <c r="M20" s="3"/>
      <c r="N20" s="3"/>
      <c r="O20" s="3"/>
      <c r="P20" s="3"/>
      <c r="Q20" s="3"/>
      <c r="R20" s="3"/>
      <c r="S20" s="3"/>
      <c r="T20" s="3"/>
      <c r="U20" s="3"/>
      <c r="V20" s="3"/>
      <c r="W20" s="3"/>
      <c r="X20" s="3"/>
      <c r="Y20" s="3"/>
      <c r="Z20" s="3"/>
    </row>
    <row r="21" spans="1:26" ht="31.5" thickBot="1">
      <c r="A21" s="9" t="s">
        <v>73</v>
      </c>
      <c r="B21" s="68"/>
      <c r="C21" s="97">
        <v>25000</v>
      </c>
      <c r="D21" s="69">
        <v>125000</v>
      </c>
      <c r="E21" s="69">
        <f>D21*1.05</f>
        <v>131250</v>
      </c>
      <c r="F21" s="69">
        <f>E21*1.05</f>
        <v>137812.5</v>
      </c>
      <c r="G21" s="70" t="s">
        <v>74</v>
      </c>
      <c r="H21" s="3"/>
      <c r="I21" s="3"/>
      <c r="J21" s="3"/>
      <c r="K21" s="3"/>
      <c r="L21" s="3"/>
      <c r="M21" s="3"/>
      <c r="N21" s="3"/>
      <c r="O21" s="3"/>
      <c r="P21" s="3"/>
      <c r="Q21" s="3"/>
      <c r="R21" s="3"/>
      <c r="S21" s="3"/>
      <c r="T21" s="3"/>
      <c r="U21" s="3"/>
      <c r="V21" s="3"/>
      <c r="W21" s="3"/>
      <c r="X21" s="3"/>
      <c r="Y21" s="3"/>
      <c r="Z21" s="3"/>
    </row>
    <row r="22" spans="1:26" ht="16.5" thickTop="1" thickBot="1">
      <c r="A22" s="63" t="s">
        <v>69</v>
      </c>
      <c r="B22" s="109">
        <f>SUM(B19:B21)</f>
        <v>47500</v>
      </c>
      <c r="C22" s="109">
        <f>SUM(C19:C21)</f>
        <v>51250</v>
      </c>
      <c r="D22" s="109">
        <f>SUM(D19:D21)</f>
        <v>152562.5</v>
      </c>
      <c r="E22" s="109">
        <f>SUM(E19:E21)</f>
        <v>160190.625</v>
      </c>
      <c r="F22" s="109">
        <f>SUM(F19:F21)</f>
        <v>168200.15625</v>
      </c>
      <c r="G22" s="65"/>
      <c r="H22" s="3"/>
      <c r="I22" s="3"/>
      <c r="J22" s="3"/>
      <c r="K22" s="3"/>
      <c r="L22" s="3"/>
      <c r="M22" s="3"/>
      <c r="N22" s="3"/>
      <c r="O22" s="3"/>
      <c r="P22" s="3"/>
      <c r="Q22" s="3"/>
      <c r="R22" s="3"/>
      <c r="S22" s="3"/>
      <c r="T22" s="3"/>
      <c r="U22" s="3"/>
      <c r="V22" s="3"/>
      <c r="W22" s="3"/>
      <c r="X22" s="3"/>
      <c r="Y22" s="3"/>
      <c r="Z22" s="3"/>
    </row>
    <row r="23" spans="1:26" ht="15.6">
      <c r="A23" s="3"/>
      <c r="B23" s="3"/>
      <c r="C23" s="3"/>
      <c r="D23" s="3"/>
      <c r="E23" s="3"/>
      <c r="F23" s="3"/>
      <c r="G23" s="9"/>
      <c r="H23" s="3"/>
      <c r="I23" s="3"/>
      <c r="J23" s="3"/>
      <c r="K23" s="3"/>
      <c r="L23" s="3"/>
      <c r="M23" s="3"/>
      <c r="N23" s="3"/>
      <c r="O23" s="3"/>
      <c r="P23" s="3"/>
      <c r="Q23" s="3"/>
      <c r="R23" s="3"/>
      <c r="S23" s="3"/>
      <c r="T23" s="3"/>
      <c r="U23" s="3"/>
      <c r="V23" s="3"/>
      <c r="W23" s="3"/>
      <c r="X23" s="3"/>
      <c r="Y23" s="3"/>
      <c r="Z23" s="3"/>
    </row>
    <row r="24" spans="1:26" ht="15.6">
      <c r="A24" s="3"/>
      <c r="B24" s="3"/>
      <c r="C24" s="3"/>
      <c r="D24" s="3"/>
      <c r="E24" s="3"/>
      <c r="F24" s="3"/>
      <c r="G24" s="9"/>
      <c r="H24" s="3"/>
      <c r="I24" s="3"/>
      <c r="J24" s="3"/>
      <c r="K24" s="3"/>
      <c r="L24" s="3"/>
      <c r="M24" s="3"/>
      <c r="N24" s="3"/>
      <c r="O24" s="3"/>
      <c r="P24" s="3"/>
      <c r="Q24" s="3"/>
      <c r="R24" s="3"/>
      <c r="S24" s="3"/>
      <c r="T24" s="3"/>
      <c r="U24" s="3"/>
      <c r="V24" s="3"/>
      <c r="W24" s="3"/>
      <c r="X24" s="3"/>
      <c r="Y24" s="3"/>
      <c r="Z24" s="3"/>
    </row>
    <row r="25" spans="1:26" ht="15.6">
      <c r="A25" s="3"/>
      <c r="B25" s="98">
        <f>SUM(B15:C15)+'2-Implementation Fees'!B36</f>
        <v>2883680.9359999998</v>
      </c>
      <c r="C25" s="3"/>
      <c r="D25" s="3"/>
      <c r="E25" s="3"/>
      <c r="F25" s="3"/>
      <c r="G25" s="9"/>
      <c r="H25" s="3"/>
      <c r="I25" s="3"/>
      <c r="J25" s="3"/>
      <c r="K25" s="3"/>
      <c r="L25" s="3"/>
      <c r="M25" s="3"/>
      <c r="N25" s="3"/>
      <c r="O25" s="3"/>
      <c r="P25" s="3"/>
      <c r="Q25" s="3"/>
      <c r="R25" s="3"/>
      <c r="S25" s="3"/>
      <c r="T25" s="3"/>
      <c r="U25" s="3"/>
      <c r="V25" s="3"/>
      <c r="W25" s="3"/>
      <c r="X25" s="3"/>
      <c r="Y25" s="3"/>
      <c r="Z25" s="3"/>
    </row>
    <row r="26" spans="1:26" ht="15.6">
      <c r="A26" s="3"/>
      <c r="B26" s="3"/>
      <c r="C26" s="3"/>
      <c r="D26" s="3"/>
      <c r="E26" s="3"/>
      <c r="F26" s="3"/>
      <c r="G26" s="9"/>
      <c r="H26" s="3"/>
      <c r="I26" s="3"/>
      <c r="J26" s="3"/>
      <c r="K26" s="3"/>
      <c r="L26" s="3"/>
      <c r="M26" s="3"/>
      <c r="N26" s="3"/>
      <c r="O26" s="3"/>
      <c r="P26" s="3"/>
      <c r="Q26" s="3"/>
      <c r="R26" s="3"/>
      <c r="S26" s="3"/>
      <c r="T26" s="3"/>
      <c r="U26" s="3"/>
      <c r="V26" s="3"/>
      <c r="W26" s="3"/>
      <c r="X26" s="3"/>
      <c r="Y26" s="3"/>
      <c r="Z26" s="3"/>
    </row>
    <row r="27" spans="1:26" ht="15.6">
      <c r="A27" s="3"/>
      <c r="B27" s="3"/>
      <c r="C27" s="3"/>
      <c r="D27" s="3"/>
      <c r="E27" s="3"/>
      <c r="F27" s="3"/>
      <c r="G27" s="9"/>
      <c r="H27" s="3"/>
      <c r="I27" s="3"/>
      <c r="J27" s="3"/>
      <c r="K27" s="3"/>
      <c r="L27" s="3"/>
      <c r="M27" s="3"/>
      <c r="N27" s="3"/>
      <c r="O27" s="3"/>
      <c r="P27" s="3"/>
      <c r="Q27" s="3"/>
      <c r="R27" s="3"/>
      <c r="S27" s="3"/>
      <c r="T27" s="3"/>
      <c r="U27" s="3"/>
      <c r="V27" s="3"/>
      <c r="W27" s="3"/>
      <c r="X27" s="3"/>
      <c r="Y27" s="3"/>
      <c r="Z27" s="3"/>
    </row>
    <row r="28" spans="1:26" ht="15.6">
      <c r="A28" s="3"/>
      <c r="B28" s="3"/>
      <c r="C28" s="3"/>
      <c r="D28" s="3"/>
      <c r="E28" s="3"/>
      <c r="F28" s="3"/>
      <c r="G28" s="9"/>
      <c r="H28" s="3"/>
      <c r="I28" s="3"/>
      <c r="J28" s="3"/>
      <c r="K28" s="3"/>
      <c r="L28" s="3"/>
      <c r="M28" s="3"/>
      <c r="N28" s="3"/>
      <c r="O28" s="3"/>
      <c r="P28" s="3"/>
      <c r="Q28" s="3"/>
      <c r="R28" s="3"/>
      <c r="S28" s="3"/>
      <c r="T28" s="3"/>
      <c r="U28" s="3"/>
      <c r="V28" s="3"/>
      <c r="W28" s="3"/>
      <c r="X28" s="3"/>
      <c r="Y28" s="3"/>
      <c r="Z28" s="3"/>
    </row>
    <row r="29" spans="1:26" ht="15.6">
      <c r="A29" s="3"/>
      <c r="B29" s="3"/>
      <c r="C29" s="3"/>
      <c r="D29" s="3"/>
      <c r="E29" s="3"/>
      <c r="F29" s="3"/>
      <c r="G29" s="9"/>
      <c r="H29" s="3"/>
      <c r="I29" s="3"/>
      <c r="J29" s="3"/>
      <c r="K29" s="3"/>
      <c r="L29" s="3"/>
      <c r="M29" s="3"/>
      <c r="N29" s="3"/>
      <c r="O29" s="3"/>
      <c r="P29" s="3"/>
      <c r="Q29" s="3"/>
      <c r="R29" s="3"/>
      <c r="S29" s="3"/>
      <c r="T29" s="3"/>
      <c r="U29" s="3"/>
      <c r="V29" s="3"/>
      <c r="W29" s="3"/>
      <c r="X29" s="3"/>
      <c r="Y29" s="3"/>
      <c r="Z29" s="3"/>
    </row>
    <row r="30" spans="1:26" ht="15.6">
      <c r="A30" s="3"/>
      <c r="B30" s="3"/>
      <c r="C30" s="3"/>
      <c r="D30" s="3"/>
      <c r="E30" s="3"/>
      <c r="F30" s="3"/>
      <c r="G30" s="9"/>
      <c r="H30" s="3"/>
      <c r="I30" s="3"/>
      <c r="J30" s="3"/>
      <c r="K30" s="3"/>
      <c r="L30" s="3"/>
      <c r="M30" s="3"/>
      <c r="N30" s="3"/>
      <c r="O30" s="3"/>
      <c r="P30" s="3"/>
      <c r="Q30" s="3"/>
      <c r="R30" s="3"/>
      <c r="S30" s="3"/>
      <c r="T30" s="3"/>
      <c r="U30" s="3"/>
      <c r="V30" s="3"/>
      <c r="W30" s="3"/>
      <c r="X30" s="3"/>
      <c r="Y30" s="3"/>
      <c r="Z30" s="3"/>
    </row>
    <row r="31" spans="1:26" ht="15.6">
      <c r="A31" s="3"/>
      <c r="B31" s="3"/>
      <c r="C31" s="3"/>
      <c r="D31" s="3"/>
      <c r="E31" s="3"/>
      <c r="F31" s="3"/>
      <c r="G31" s="9"/>
      <c r="H31" s="3"/>
      <c r="I31" s="3"/>
      <c r="J31" s="3"/>
      <c r="K31" s="3"/>
      <c r="L31" s="3"/>
      <c r="M31" s="3"/>
      <c r="N31" s="3"/>
      <c r="O31" s="3"/>
      <c r="P31" s="3"/>
      <c r="Q31" s="3"/>
      <c r="R31" s="3"/>
      <c r="S31" s="3"/>
      <c r="T31" s="3"/>
      <c r="U31" s="3"/>
      <c r="V31" s="3"/>
      <c r="W31" s="3"/>
      <c r="X31" s="3"/>
      <c r="Y31" s="3"/>
      <c r="Z31" s="3"/>
    </row>
    <row r="32" spans="1:26" ht="15.6">
      <c r="A32" s="3"/>
      <c r="B32" s="3"/>
      <c r="C32" s="3"/>
      <c r="D32" s="3"/>
      <c r="E32" s="3"/>
      <c r="F32" s="3"/>
      <c r="G32" s="9"/>
      <c r="H32" s="3"/>
      <c r="I32" s="3"/>
      <c r="J32" s="3"/>
      <c r="K32" s="3"/>
      <c r="L32" s="3"/>
      <c r="M32" s="3"/>
      <c r="N32" s="3"/>
      <c r="O32" s="3"/>
      <c r="P32" s="3"/>
      <c r="Q32" s="3"/>
      <c r="R32" s="3"/>
      <c r="S32" s="3"/>
      <c r="T32" s="3"/>
      <c r="U32" s="3"/>
      <c r="V32" s="3"/>
      <c r="W32" s="3"/>
      <c r="X32" s="3"/>
      <c r="Y32" s="3"/>
      <c r="Z32" s="3"/>
    </row>
    <row r="33" spans="1:26" ht="15.6">
      <c r="A33" s="3"/>
      <c r="B33" s="3"/>
      <c r="C33" s="3"/>
      <c r="D33" s="3"/>
      <c r="E33" s="3"/>
      <c r="F33" s="3"/>
      <c r="G33" s="9"/>
      <c r="H33" s="3"/>
      <c r="I33" s="3"/>
      <c r="J33" s="3"/>
      <c r="K33" s="3"/>
      <c r="L33" s="3"/>
      <c r="M33" s="3"/>
      <c r="N33" s="3"/>
      <c r="O33" s="3"/>
      <c r="P33" s="3"/>
      <c r="Q33" s="3"/>
      <c r="R33" s="3"/>
      <c r="S33" s="3"/>
      <c r="T33" s="3"/>
      <c r="U33" s="3"/>
      <c r="V33" s="3"/>
      <c r="W33" s="3"/>
      <c r="X33" s="3"/>
      <c r="Y33" s="3"/>
      <c r="Z33" s="3"/>
    </row>
    <row r="34" spans="1:26" ht="15.6">
      <c r="A34" s="3"/>
      <c r="B34" s="3"/>
      <c r="C34" s="3"/>
      <c r="D34" s="3"/>
      <c r="E34" s="3"/>
      <c r="F34" s="3"/>
      <c r="G34" s="9"/>
      <c r="H34" s="3"/>
      <c r="I34" s="3"/>
      <c r="J34" s="3"/>
      <c r="K34" s="3"/>
      <c r="L34" s="3"/>
      <c r="M34" s="3"/>
      <c r="N34" s="3"/>
      <c r="O34" s="3"/>
      <c r="P34" s="3"/>
      <c r="Q34" s="3"/>
      <c r="R34" s="3"/>
      <c r="S34" s="3"/>
      <c r="T34" s="3"/>
      <c r="U34" s="3"/>
      <c r="V34" s="3"/>
      <c r="W34" s="3"/>
      <c r="X34" s="3"/>
      <c r="Y34" s="3"/>
      <c r="Z34" s="3"/>
    </row>
    <row r="35" spans="1:26" ht="15.6">
      <c r="A35" s="3"/>
      <c r="B35" s="3"/>
      <c r="C35" s="3"/>
      <c r="D35" s="3"/>
      <c r="E35" s="3"/>
      <c r="F35" s="3"/>
      <c r="G35" s="9"/>
      <c r="H35" s="3"/>
      <c r="I35" s="3"/>
      <c r="J35" s="3"/>
      <c r="K35" s="3"/>
      <c r="L35" s="3"/>
      <c r="M35" s="3"/>
      <c r="N35" s="3"/>
      <c r="O35" s="3"/>
      <c r="P35" s="3"/>
      <c r="Q35" s="3"/>
      <c r="R35" s="3"/>
      <c r="S35" s="3"/>
      <c r="T35" s="3"/>
      <c r="U35" s="3"/>
      <c r="V35" s="3"/>
      <c r="W35" s="3"/>
      <c r="X35" s="3"/>
      <c r="Y35" s="3"/>
      <c r="Z35" s="3"/>
    </row>
    <row r="36" spans="1:26" ht="15.6">
      <c r="A36" s="3"/>
      <c r="B36" s="3"/>
      <c r="C36" s="3"/>
      <c r="D36" s="3"/>
      <c r="E36" s="3"/>
      <c r="F36" s="3"/>
      <c r="G36" s="9"/>
      <c r="H36" s="3"/>
      <c r="I36" s="3"/>
      <c r="J36" s="3"/>
      <c r="K36" s="3"/>
      <c r="L36" s="3"/>
      <c r="M36" s="3"/>
      <c r="N36" s="3"/>
      <c r="O36" s="3"/>
      <c r="P36" s="3"/>
      <c r="Q36" s="3"/>
      <c r="R36" s="3"/>
      <c r="S36" s="3"/>
      <c r="T36" s="3"/>
      <c r="U36" s="3"/>
      <c r="V36" s="3"/>
      <c r="W36" s="3"/>
      <c r="X36" s="3"/>
      <c r="Y36" s="3"/>
      <c r="Z36" s="3"/>
    </row>
    <row r="37" spans="1:26" ht="15.6">
      <c r="A37" s="3"/>
      <c r="B37" s="3"/>
      <c r="C37" s="3"/>
      <c r="D37" s="3"/>
      <c r="E37" s="3"/>
      <c r="F37" s="3"/>
      <c r="G37" s="9"/>
      <c r="H37" s="3"/>
      <c r="I37" s="3"/>
      <c r="J37" s="3"/>
      <c r="K37" s="3"/>
      <c r="L37" s="3"/>
      <c r="M37" s="3"/>
      <c r="N37" s="3"/>
      <c r="O37" s="3"/>
      <c r="P37" s="3"/>
      <c r="Q37" s="3"/>
      <c r="R37" s="3"/>
      <c r="S37" s="3"/>
      <c r="T37" s="3"/>
      <c r="U37" s="3"/>
      <c r="V37" s="3"/>
      <c r="W37" s="3"/>
      <c r="X37" s="3"/>
      <c r="Y37" s="3"/>
      <c r="Z37" s="3"/>
    </row>
    <row r="38" spans="1:26" ht="15.6">
      <c r="A38" s="3"/>
      <c r="B38" s="3"/>
      <c r="C38" s="3"/>
      <c r="D38" s="3"/>
      <c r="E38" s="3"/>
      <c r="F38" s="3"/>
      <c r="G38" s="9"/>
      <c r="H38" s="3"/>
      <c r="I38" s="3"/>
      <c r="J38" s="3"/>
      <c r="K38" s="3"/>
      <c r="L38" s="3"/>
      <c r="M38" s="3"/>
      <c r="N38" s="3"/>
      <c r="O38" s="3"/>
      <c r="P38" s="3"/>
      <c r="Q38" s="3"/>
      <c r="R38" s="3"/>
      <c r="S38" s="3"/>
      <c r="T38" s="3"/>
      <c r="U38" s="3"/>
      <c r="V38" s="3"/>
      <c r="W38" s="3"/>
      <c r="X38" s="3"/>
      <c r="Y38" s="3"/>
      <c r="Z38" s="3"/>
    </row>
    <row r="39" spans="1:26" ht="15.6">
      <c r="A39" s="3"/>
      <c r="B39" s="3"/>
      <c r="C39" s="3"/>
      <c r="D39" s="3"/>
      <c r="E39" s="3"/>
      <c r="F39" s="3"/>
      <c r="G39" s="9"/>
      <c r="H39" s="3"/>
      <c r="I39" s="3"/>
      <c r="J39" s="3"/>
      <c r="K39" s="3"/>
      <c r="L39" s="3"/>
      <c r="M39" s="3"/>
      <c r="N39" s="3"/>
      <c r="O39" s="3"/>
      <c r="P39" s="3"/>
      <c r="Q39" s="3"/>
      <c r="R39" s="3"/>
      <c r="S39" s="3"/>
      <c r="T39" s="3"/>
      <c r="U39" s="3"/>
      <c r="V39" s="3"/>
      <c r="W39" s="3"/>
      <c r="X39" s="3"/>
      <c r="Y39" s="3"/>
      <c r="Z39" s="3"/>
    </row>
    <row r="40" spans="1:26" ht="15.6">
      <c r="A40" s="3"/>
      <c r="B40" s="3"/>
      <c r="C40" s="3"/>
      <c r="D40" s="3"/>
      <c r="E40" s="3"/>
      <c r="F40" s="3"/>
      <c r="G40" s="9"/>
      <c r="H40" s="3"/>
      <c r="I40" s="3"/>
      <c r="J40" s="3"/>
      <c r="K40" s="3"/>
      <c r="L40" s="3"/>
      <c r="M40" s="3"/>
      <c r="N40" s="3"/>
      <c r="O40" s="3"/>
      <c r="P40" s="3"/>
      <c r="Q40" s="3"/>
      <c r="R40" s="3"/>
      <c r="S40" s="3"/>
      <c r="T40" s="3"/>
      <c r="U40" s="3"/>
      <c r="V40" s="3"/>
      <c r="W40" s="3"/>
      <c r="X40" s="3"/>
      <c r="Y40" s="3"/>
      <c r="Z40" s="3"/>
    </row>
    <row r="41" spans="1:26" ht="15.6">
      <c r="A41" s="3"/>
      <c r="B41" s="3"/>
      <c r="C41" s="3"/>
      <c r="D41" s="3"/>
      <c r="E41" s="3"/>
      <c r="F41" s="3"/>
      <c r="G41" s="9"/>
      <c r="H41" s="3"/>
      <c r="I41" s="3"/>
      <c r="J41" s="3"/>
      <c r="K41" s="3"/>
      <c r="L41" s="3"/>
      <c r="M41" s="3"/>
      <c r="N41" s="3"/>
      <c r="O41" s="3"/>
      <c r="P41" s="3"/>
      <c r="Q41" s="3"/>
      <c r="R41" s="3"/>
      <c r="S41" s="3"/>
      <c r="T41" s="3"/>
      <c r="U41" s="3"/>
      <c r="V41" s="3"/>
      <c r="W41" s="3"/>
      <c r="X41" s="3"/>
      <c r="Y41" s="3"/>
      <c r="Z41" s="3"/>
    </row>
    <row r="42" spans="1:26" ht="15.6">
      <c r="A42" s="3"/>
      <c r="B42" s="3"/>
      <c r="C42" s="3"/>
      <c r="D42" s="3"/>
      <c r="E42" s="3"/>
      <c r="F42" s="3"/>
      <c r="G42" s="9"/>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9"/>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9"/>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9"/>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9"/>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9"/>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9"/>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9"/>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9"/>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9"/>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9"/>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9"/>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9"/>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9"/>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9"/>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9"/>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9"/>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9"/>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9"/>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9"/>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9"/>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9"/>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9"/>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9"/>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9"/>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9"/>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9"/>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9"/>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9"/>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9"/>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9"/>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9"/>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9"/>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9"/>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9"/>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9"/>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9"/>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9"/>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9"/>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9"/>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9"/>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9"/>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9"/>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9"/>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9"/>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9"/>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9"/>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9"/>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9"/>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9"/>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9"/>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9"/>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9"/>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9"/>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9"/>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9"/>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9"/>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9"/>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9"/>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9"/>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9"/>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9"/>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9"/>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9"/>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9"/>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9"/>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9"/>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9"/>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9"/>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9"/>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9"/>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9"/>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9"/>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9"/>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9"/>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9"/>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9"/>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9"/>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9"/>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9"/>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9"/>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9"/>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9"/>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9"/>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9"/>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9"/>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9"/>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9"/>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9"/>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9"/>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9"/>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9"/>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9"/>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9"/>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9"/>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9"/>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9"/>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9"/>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9"/>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9"/>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9"/>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9"/>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9"/>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9"/>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9"/>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9"/>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9"/>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9"/>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9"/>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9"/>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9"/>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9"/>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9"/>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9"/>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9"/>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9"/>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9"/>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9"/>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9"/>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9"/>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9"/>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9"/>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9"/>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9"/>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9"/>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9"/>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9"/>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9"/>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9"/>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9"/>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9"/>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9"/>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9"/>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9"/>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9"/>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9"/>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9"/>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9"/>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9"/>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9"/>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9"/>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9"/>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9"/>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9"/>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9"/>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9"/>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9"/>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9"/>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9"/>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9"/>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9"/>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9"/>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9"/>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9"/>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9"/>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9"/>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9"/>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9"/>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9"/>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9"/>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9"/>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9"/>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9"/>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9"/>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9"/>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9"/>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9"/>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9"/>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9"/>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9"/>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9"/>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9"/>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9"/>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9"/>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9"/>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9"/>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9"/>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9"/>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9"/>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9"/>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9"/>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9"/>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9"/>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9"/>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9"/>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9"/>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9"/>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9"/>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9"/>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9"/>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9"/>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9"/>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9"/>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9"/>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9"/>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9"/>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9"/>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9"/>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9"/>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9"/>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9"/>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9"/>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9"/>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9"/>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9"/>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9"/>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9"/>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9"/>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9"/>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9"/>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9"/>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9"/>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9"/>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9"/>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9"/>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9"/>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9"/>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9"/>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9"/>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9"/>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9"/>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9"/>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9"/>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9"/>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9"/>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9"/>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9"/>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9"/>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9"/>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9"/>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9"/>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9"/>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9"/>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9"/>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9"/>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9"/>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9"/>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9"/>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9"/>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9"/>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9"/>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9"/>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9"/>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9"/>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9"/>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9"/>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9"/>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9"/>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9"/>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9"/>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9"/>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9"/>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9"/>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9"/>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9"/>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9"/>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9"/>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9"/>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9"/>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9"/>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9"/>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9"/>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9"/>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9"/>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9"/>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9"/>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9"/>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9"/>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9"/>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9"/>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9"/>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9"/>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9"/>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9"/>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9"/>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9"/>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9"/>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9"/>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9"/>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9"/>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9"/>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9"/>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9"/>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9"/>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9"/>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9"/>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9"/>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9"/>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9"/>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9"/>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9"/>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9"/>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9"/>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9"/>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9"/>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9"/>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9"/>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9"/>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9"/>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9"/>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9"/>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9"/>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9"/>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9"/>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9"/>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9"/>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9"/>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9"/>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9"/>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9"/>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9"/>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9"/>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9"/>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9"/>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9"/>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9"/>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9"/>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9"/>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9"/>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9"/>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9"/>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9"/>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9"/>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9"/>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9"/>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9"/>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9"/>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9"/>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9"/>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9"/>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9"/>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9"/>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9"/>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9"/>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9"/>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9"/>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9"/>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9"/>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9"/>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9"/>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9"/>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9"/>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9"/>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9"/>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9"/>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9"/>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9"/>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9"/>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9"/>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9"/>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9"/>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9"/>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9"/>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9"/>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9"/>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9"/>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9"/>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9"/>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9"/>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9"/>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9"/>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9"/>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9"/>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9"/>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9"/>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9"/>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9"/>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9"/>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9"/>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9"/>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9"/>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9"/>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9"/>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9"/>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9"/>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9"/>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9"/>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9"/>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9"/>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9"/>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9"/>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9"/>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9"/>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9"/>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9"/>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9"/>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9"/>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9"/>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9"/>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9"/>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9"/>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9"/>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9"/>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9"/>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9"/>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9"/>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9"/>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9"/>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9"/>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9"/>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9"/>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9"/>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9"/>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9"/>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9"/>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9"/>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9"/>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9"/>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9"/>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9"/>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9"/>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9"/>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9"/>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9"/>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9"/>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9"/>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9"/>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9"/>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9"/>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9"/>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9"/>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9"/>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9"/>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9"/>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9"/>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9"/>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9"/>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9"/>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9"/>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9"/>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9"/>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9"/>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9"/>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9"/>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9"/>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9"/>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9"/>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9"/>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9"/>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9"/>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9"/>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9"/>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9"/>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9"/>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9"/>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9"/>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9"/>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9"/>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9"/>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9"/>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9"/>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9"/>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9"/>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9"/>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9"/>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9"/>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9"/>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9"/>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9"/>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9"/>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9"/>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9"/>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9"/>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9"/>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9"/>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9"/>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9"/>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9"/>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9"/>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9"/>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9"/>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9"/>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9"/>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9"/>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9"/>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9"/>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9"/>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9"/>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9"/>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9"/>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9"/>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9"/>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9"/>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9"/>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9"/>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9"/>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9"/>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9"/>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9"/>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9"/>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9"/>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9"/>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9"/>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9"/>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9"/>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9"/>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9"/>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9"/>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9"/>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9"/>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9"/>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9"/>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9"/>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9"/>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9"/>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9"/>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9"/>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9"/>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9"/>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9"/>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9"/>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9"/>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9"/>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9"/>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9"/>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9"/>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9"/>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9"/>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9"/>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9"/>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9"/>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9"/>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9"/>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9"/>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9"/>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9"/>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9"/>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9"/>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9"/>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9"/>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9"/>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9"/>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9"/>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9"/>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9"/>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9"/>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9"/>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9"/>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9"/>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9"/>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9"/>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9"/>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9"/>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9"/>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9"/>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9"/>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9"/>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9"/>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9"/>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9"/>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9"/>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9"/>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9"/>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9"/>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9"/>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9"/>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9"/>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9"/>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9"/>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9"/>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9"/>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9"/>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9"/>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9"/>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9"/>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9"/>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9"/>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9"/>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9"/>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9"/>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9"/>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9"/>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9"/>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9"/>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9"/>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9"/>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9"/>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9"/>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9"/>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9"/>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9"/>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9"/>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9"/>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9"/>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9"/>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9"/>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9"/>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9"/>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9"/>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9"/>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9"/>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9"/>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9"/>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9"/>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9"/>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9"/>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9"/>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9"/>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9"/>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9"/>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9"/>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9"/>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9"/>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9"/>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9"/>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9"/>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9"/>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9"/>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9"/>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9"/>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9"/>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9"/>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9"/>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9"/>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9"/>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9"/>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9"/>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9"/>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9"/>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9"/>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9"/>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9"/>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9"/>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9"/>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9"/>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9"/>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9"/>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9"/>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9"/>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9"/>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9"/>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9"/>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9"/>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9"/>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9"/>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9"/>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9"/>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9"/>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9"/>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9"/>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9"/>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9"/>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9"/>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9"/>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9"/>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9"/>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9"/>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9"/>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9"/>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9"/>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9"/>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9"/>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9"/>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9"/>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9"/>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9"/>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9"/>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9"/>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9"/>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9"/>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9"/>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9"/>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9"/>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9"/>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9"/>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9"/>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9"/>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9"/>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9"/>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9"/>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9"/>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9"/>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9"/>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9"/>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9"/>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9"/>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9"/>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9"/>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9"/>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9"/>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9"/>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9"/>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9"/>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9"/>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9"/>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9"/>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9"/>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9"/>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9"/>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9"/>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9"/>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9"/>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9"/>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9"/>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9"/>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9"/>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9"/>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9"/>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9"/>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9"/>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9"/>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9"/>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9"/>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9"/>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9"/>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9"/>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9"/>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9"/>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9"/>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9"/>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9"/>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9"/>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9"/>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9"/>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9"/>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9"/>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9"/>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9"/>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9"/>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9"/>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9"/>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9"/>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9"/>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9"/>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9"/>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9"/>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9"/>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9"/>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9"/>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9"/>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9"/>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9"/>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9"/>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9"/>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9"/>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9"/>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9"/>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9"/>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9"/>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9"/>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9"/>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9"/>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9"/>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9"/>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9"/>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9"/>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9"/>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9"/>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9"/>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9"/>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9"/>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9"/>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9"/>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9"/>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9"/>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9"/>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9"/>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9"/>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9"/>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9"/>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9"/>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9"/>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9"/>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9"/>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9"/>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9"/>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9"/>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9"/>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9"/>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9"/>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9"/>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9"/>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9"/>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9"/>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9"/>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9"/>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9"/>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9"/>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9"/>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9"/>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9"/>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9"/>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9"/>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9"/>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9"/>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9"/>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9"/>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9"/>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9"/>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9"/>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9"/>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9"/>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9"/>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9"/>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9"/>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9"/>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9"/>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9"/>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9"/>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9"/>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9"/>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9"/>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9"/>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9"/>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9"/>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9"/>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9"/>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9"/>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9"/>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9"/>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9"/>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9"/>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9"/>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9"/>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9"/>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9"/>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9"/>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9"/>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9"/>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9"/>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9"/>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9"/>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9"/>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9"/>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9"/>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9"/>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9"/>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9"/>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9"/>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9"/>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9"/>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9"/>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9"/>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9"/>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9"/>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9"/>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9"/>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9"/>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9"/>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9"/>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9"/>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9"/>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9"/>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9"/>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9"/>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9"/>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9"/>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9"/>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9"/>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9"/>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9"/>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9"/>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9"/>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9"/>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9"/>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9"/>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9"/>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9"/>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9"/>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9"/>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9"/>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9"/>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9"/>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9"/>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9"/>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9"/>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9"/>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9"/>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9"/>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9"/>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9"/>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9"/>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9"/>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9"/>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9"/>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9"/>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9"/>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9"/>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9"/>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9"/>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9"/>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9"/>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9"/>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9"/>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9"/>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9"/>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9"/>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9"/>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9"/>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9"/>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9"/>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9"/>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9"/>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9"/>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9"/>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9"/>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9"/>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9"/>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9"/>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9"/>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9"/>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9"/>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9"/>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9"/>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9"/>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9"/>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9"/>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9"/>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9"/>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9"/>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9"/>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9"/>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9"/>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9"/>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9"/>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9"/>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9"/>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9"/>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9"/>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9"/>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9"/>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9"/>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9"/>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9"/>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9"/>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9"/>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9"/>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9"/>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9"/>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9"/>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9"/>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9"/>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9"/>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9"/>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9"/>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9"/>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9"/>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9"/>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9"/>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9"/>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9"/>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9"/>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9"/>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9"/>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9"/>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9"/>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9"/>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9"/>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9"/>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9"/>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9"/>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9"/>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9"/>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9"/>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9"/>
      <c r="H996" s="3"/>
      <c r="I996" s="3"/>
      <c r="J996" s="3"/>
      <c r="K996" s="3"/>
      <c r="L996" s="3"/>
      <c r="M996" s="3"/>
      <c r="N996" s="3"/>
      <c r="O996" s="3"/>
      <c r="P996" s="3"/>
      <c r="Q996" s="3"/>
      <c r="R996" s="3"/>
      <c r="S996" s="3"/>
      <c r="T996" s="3"/>
      <c r="U996" s="3"/>
      <c r="V996" s="3"/>
      <c r="W996" s="3"/>
      <c r="X996" s="3"/>
      <c r="Y996" s="3"/>
      <c r="Z996" s="3"/>
    </row>
  </sheetData>
  <printOptions horizontalCentered="1"/>
  <pageMargins left="0.25" right="0.25" top="0.75" bottom="0.75" header="0" footer="0"/>
  <pageSetup fitToHeight="0" orientation="landscape"/>
  <headerFooter>
    <oddHeader>&amp;C0000FFInternal</oddHeader>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sheetViews>
  <sheetFormatPr defaultColWidth="12.5703125" defaultRowHeight="15" customHeight="1"/>
  <cols>
    <col min="1" max="1" width="39.85546875" customWidth="1"/>
    <col min="2" max="2" width="36.5703125" customWidth="1"/>
    <col min="3" max="3" width="36.5703125" hidden="1" customWidth="1"/>
    <col min="4" max="4" width="36.5703125" customWidth="1"/>
    <col min="5" max="26" width="8.5703125" customWidth="1"/>
  </cols>
  <sheetData>
    <row r="1" spans="1:4" ht="12.75" customHeight="1">
      <c r="A1" s="101" t="s">
        <v>75</v>
      </c>
      <c r="B1" s="100"/>
      <c r="C1" s="110"/>
      <c r="D1" s="110"/>
    </row>
    <row r="2" spans="1:4" ht="12.75" customHeight="1">
      <c r="A2" s="102" t="str">
        <f>'1-Summary'!A2</f>
        <v xml:space="preserve">Vendor: </v>
      </c>
      <c r="B2" s="71" t="str">
        <f>'1-Summary'!B2</f>
        <v>Speridian Technologies</v>
      </c>
      <c r="C2" s="72"/>
      <c r="D2" s="72"/>
    </row>
    <row r="3" spans="1:4" ht="12.75" customHeight="1">
      <c r="A3" s="73"/>
      <c r="B3" s="3"/>
    </row>
    <row r="4" spans="1:4" ht="15.75" customHeight="1">
      <c r="A4" s="74" t="s">
        <v>76</v>
      </c>
      <c r="B4" s="75" t="s">
        <v>77</v>
      </c>
      <c r="C4" s="76" t="s">
        <v>78</v>
      </c>
    </row>
    <row r="5" spans="1:4" ht="15" customHeight="1">
      <c r="A5" s="77"/>
      <c r="B5" s="78"/>
      <c r="C5" s="79"/>
    </row>
    <row r="6" spans="1:4" ht="15" customHeight="1">
      <c r="A6" s="80"/>
      <c r="B6" s="81"/>
      <c r="C6" s="82"/>
    </row>
    <row r="7" spans="1:4" ht="15" customHeight="1">
      <c r="A7" s="80"/>
      <c r="B7" s="81"/>
      <c r="C7" s="82"/>
    </row>
    <row r="8" spans="1:4" ht="15" customHeight="1">
      <c r="A8" s="80"/>
      <c r="B8" s="81"/>
      <c r="C8" s="82"/>
    </row>
    <row r="9" spans="1:4" ht="15" customHeight="1">
      <c r="A9" s="80"/>
      <c r="B9" s="81"/>
      <c r="C9" s="82"/>
    </row>
    <row r="10" spans="1:4" ht="15" customHeight="1">
      <c r="A10" s="80"/>
      <c r="B10" s="81"/>
      <c r="C10" s="82"/>
    </row>
    <row r="11" spans="1:4" ht="15" customHeight="1">
      <c r="A11" s="80"/>
      <c r="B11" s="81"/>
      <c r="C11" s="82"/>
    </row>
    <row r="12" spans="1:4" ht="15" customHeight="1">
      <c r="A12" s="80"/>
      <c r="B12" s="81"/>
      <c r="C12" s="82"/>
    </row>
    <row r="13" spans="1:4" ht="15" customHeight="1">
      <c r="A13" s="80"/>
      <c r="B13" s="81"/>
      <c r="C13" s="82"/>
    </row>
    <row r="14" spans="1:4" ht="15" customHeight="1">
      <c r="A14" s="80"/>
      <c r="B14" s="81"/>
      <c r="C14" s="82"/>
    </row>
    <row r="15" spans="1:4" ht="15" customHeight="1">
      <c r="A15" s="80"/>
      <c r="B15" s="81"/>
      <c r="C15" s="82"/>
    </row>
    <row r="16" spans="1:4" ht="15" customHeight="1">
      <c r="A16" s="80"/>
      <c r="B16" s="81"/>
      <c r="C16" s="82"/>
    </row>
    <row r="17" spans="1:26" ht="15" customHeight="1">
      <c r="A17" s="80"/>
      <c r="B17" s="81"/>
      <c r="C17" s="82"/>
    </row>
    <row r="18" spans="1:26" ht="15" customHeight="1">
      <c r="A18" s="83"/>
      <c r="B18" s="84"/>
      <c r="C18" s="85"/>
    </row>
    <row r="19" spans="1:26" ht="15" customHeight="1">
      <c r="A19" s="83"/>
      <c r="B19" s="84"/>
      <c r="C19" s="85"/>
    </row>
    <row r="20" spans="1:26" ht="15" customHeight="1">
      <c r="A20" s="83"/>
      <c r="B20" s="84"/>
      <c r="C20" s="85"/>
    </row>
    <row r="21" spans="1:26" ht="15" customHeight="1">
      <c r="A21" s="86" t="s">
        <v>69</v>
      </c>
      <c r="B21" s="87">
        <f t="shared" ref="B21:C21" si="0">SUM(B6:B20)</f>
        <v>0</v>
      </c>
      <c r="C21" s="87">
        <f t="shared" si="0"/>
        <v>0</v>
      </c>
    </row>
    <row r="22" spans="1:26" ht="15" customHeight="1">
      <c r="A22" s="88"/>
      <c r="B22" s="84"/>
      <c r="C22" s="89"/>
    </row>
    <row r="23" spans="1:26" ht="12.75" customHeight="1">
      <c r="A23" s="90"/>
    </row>
    <row r="24" spans="1:26" ht="12.75" customHeight="1">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ht="12.75" customHeight="1"/>
    <row r="26" spans="1:26" ht="12.75" customHeight="1"/>
    <row r="27" spans="1:26" ht="12.75" customHeight="1"/>
    <row r="28" spans="1:26" ht="12.75" customHeight="1"/>
    <row r="29" spans="1:26" ht="12.75" customHeight="1"/>
    <row r="30" spans="1:26" ht="12.75" customHeight="1"/>
    <row r="31" spans="1:26" ht="12.75" customHeight="1"/>
    <row r="32" spans="1:2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orizontalCentered="1"/>
  <pageMargins left="0.25" right="0.25" top="0.75" bottom="0.75" header="0" footer="0"/>
  <pageSetup fitToHeight="0" orientation="landscape"/>
  <headerFooter>
    <oddHeader>&amp;C0000FFInternal</oddHeader>
    <oddFooter>&amp;R&amp;A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F2DB4CE-BD9C-40B0-B184-071B502B19EE}"/>
</file>

<file path=customXml/itemProps2.xml><?xml version="1.0" encoding="utf-8"?>
<ds:datastoreItem xmlns:ds="http://schemas.openxmlformats.org/officeDocument/2006/customXml" ds:itemID="{29A0451A-16BB-4F89-B0E1-0AD333EB6FE9}"/>
</file>

<file path=customXml/itemProps3.xml><?xml version="1.0" encoding="utf-8"?>
<ds:datastoreItem xmlns:ds="http://schemas.openxmlformats.org/officeDocument/2006/customXml" ds:itemID="{65A5DBA7-C021-4F43-80F3-EF3A660A3E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MMucha</dc:creator>
  <cp:keywords/>
  <dc:description/>
  <cp:lastModifiedBy>Thai, Thanh</cp:lastModifiedBy>
  <cp:revision/>
  <dcterms:created xsi:type="dcterms:W3CDTF">1998-04-30T13:13:23Z</dcterms:created>
  <dcterms:modified xsi:type="dcterms:W3CDTF">2025-09-24T16:34:28Z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TitusGUID">
    <vt:lpwstr>205cd961-fb49-4af0-a8a6-e2f1a0f0674c</vt:lpwstr>
  </property>
  <property fmtid="{D5CDD505-2E9C-101B-9397-08002B2CF9AE}" pid="4" name="TitusCOBClassification">
    <vt:lpwstr>Internal</vt:lpwstr>
  </property>
  <property fmtid="{D5CDD505-2E9C-101B-9397-08002B2CF9AE}" pid="5" name="TitusVisualMarking">
    <vt:lpwstr>Yes</vt:lpwstr>
  </property>
  <property fmtid="{D5CDD505-2E9C-101B-9397-08002B2CF9AE}" pid="6" name="ContentTypeId">
    <vt:lpwstr>0x0101003CD26BD7D3F23048B5D0C3B7BAF7E670</vt:lpwstr>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y fmtid="{D5CDD505-2E9C-101B-9397-08002B2CF9AE}" pid="14" name="xd_Signature">
    <vt:bool>false</vt:bool>
  </property>
  <property fmtid="{D5CDD505-2E9C-101B-9397-08002B2CF9AE}" pid="15" name="Order">
    <vt:r8>17300</vt:r8>
  </property>
  <property fmtid="{D5CDD505-2E9C-101B-9397-08002B2CF9AE}" pid="16" name="MediaServiceImageTags">
    <vt:lpwstr/>
  </property>
</Properties>
</file>