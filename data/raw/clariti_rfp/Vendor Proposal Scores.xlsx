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cityofberkeley-my.sharepoint.com/personal/eblackwelder_cityofberkeley_info/Documents/Desktop/"/>
    </mc:Choice>
  </mc:AlternateContent>
  <xr:revisionPtr revIDLastSave="1" documentId="8_{4E93D1F5-0D87-4B80-A2A3-60A22B6B0672}" xr6:coauthVersionLast="47" xr6:coauthVersionMax="47" xr10:uidLastSave="{C86FA3AC-6A42-46D6-9751-51E4C38DF6BD}"/>
  <bookViews>
    <workbookView xWindow="-108" yWindow="-108" windowWidth="23256" windowHeight="13896" xr2:uid="{034CC77B-C250-4309-9D27-0A4C6649D8FE}"/>
  </bookViews>
  <sheets>
    <sheet name="Proposal Scores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<sst xmlns="http://schemas.openxmlformats.org/spreadsheetml/2006/main" count="13" uniqueCount="13">
  <si>
    <t>Proposals</t>
  </si>
  <si>
    <t xml:space="preserve">Scores </t>
  </si>
  <si>
    <t>Citizenserve</t>
  </si>
  <si>
    <t>EdgeSoft</t>
  </si>
  <si>
    <t>Clariti/Speridian</t>
  </si>
  <si>
    <t>Computronix</t>
  </si>
  <si>
    <t>VIP</t>
  </si>
  <si>
    <t>OpenGOV</t>
  </si>
  <si>
    <t>Tyler</t>
  </si>
  <si>
    <t>TruePoint/Accela</t>
  </si>
  <si>
    <t>Avocette/Accela</t>
  </si>
  <si>
    <t>Byrne/Accela</t>
  </si>
  <si>
    <t>DPP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</si>
</sst>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ityofberkeley.sharepoint.com/sites/APP-Permit/Shared%20Documents/General/10_Evaluation/01_Score%20Total%20and%20Ranking.xlsx" TargetMode="External"/><Relationship Id="rId1" Type="http://schemas.openxmlformats.org/officeDocument/2006/relationships/externalLinkPath" Target="https://cityofberkeley.sharepoint.com/sites/APP-Permit/Shared%20Documents/General/10_Evaluation/01_Score%20Total%20and%20Ran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Scores &amp; Ranking"/>
      <sheetName val="Avocette Summary"/>
      <sheetName val="Byrne Summary"/>
      <sheetName val="Citizenserve Summary"/>
      <sheetName val="Computronix Summary"/>
      <sheetName val="DPP Tech Summary"/>
      <sheetName val="EdgeSoft Summary"/>
      <sheetName val="OpenGov Summary"/>
      <sheetName val="Speridian Summary"/>
      <sheetName val="True Point Summary"/>
      <sheetName val="Tyler Munis"/>
      <sheetName val="VIP Summary"/>
    </sheetNames>
    <sheetDataSet>
      <sheetData sheetId="0"/>
      <sheetData sheetId="1">
        <row r="6">
          <cell r="Q6">
            <v>64.785714285714292</v>
          </cell>
        </row>
      </sheetData>
      <sheetData sheetId="2">
        <row r="6">
          <cell r="Q6">
            <v>51.307692307692307</v>
          </cell>
        </row>
      </sheetData>
      <sheetData sheetId="3">
        <row r="6">
          <cell r="Q6">
            <v>80.615384615384613</v>
          </cell>
        </row>
      </sheetData>
      <sheetData sheetId="4">
        <row r="6">
          <cell r="Q6">
            <v>71.15384615384616</v>
          </cell>
        </row>
      </sheetData>
      <sheetData sheetId="5">
        <row r="6">
          <cell r="Q6">
            <v>50.384615384615387</v>
          </cell>
        </row>
      </sheetData>
      <sheetData sheetId="6">
        <row r="6">
          <cell r="Q6">
            <v>80</v>
          </cell>
        </row>
      </sheetData>
      <sheetData sheetId="7">
        <row r="6">
          <cell r="Q6">
            <v>68.84615384615384</v>
          </cell>
        </row>
      </sheetData>
      <sheetData sheetId="8">
        <row r="6">
          <cell r="Q6">
            <v>75.230769230769226</v>
          </cell>
        </row>
      </sheetData>
      <sheetData sheetId="9">
        <row r="6">
          <cell r="Q6">
            <v>66</v>
          </cell>
        </row>
      </sheetData>
      <sheetData sheetId="10">
        <row r="6">
          <cell r="Q6">
            <v>59.538461538461533</v>
          </cell>
        </row>
      </sheetData>
      <sheetData sheetId="11">
        <row r="6">
          <cell r="Q6">
            <v>64.384615384615387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8E28-FCBD-499B-997C-83C14653E8A2}">
  <dimension ref="A1:B12"/>
  <sheetViews>
    <sheetView tabSelected="1" workbookViewId="0">
      <selection activeCell="E19" sqref="E19"/>
    </sheetView>
  </sheetViews>
  <sheetFormatPr defaultRowHeight="14.45"/>
  <cols>
    <col min="1" max="1" width="16.7109375" customWidth="1"/>
    <col min="2" max="2" width="11.5703125" style="1" customWidth="1"/>
  </cols>
  <sheetData>
    <row r="1" spans="1:2">
      <c r="A1" t="s">
        <v>0</v>
      </c>
      <c r="B1" s="1" t="s">
        <v>1</v>
      </c>
    </row>
    <row r="2" spans="1:2">
      <c r="A2" s="2" t="s">
        <v>2</v>
      </c>
      <c r="B2" s="1">
        <f>'[1]Citizenserve Summary'!Q6</f>
        <v>80.615384615384613</v>
      </c>
    </row>
    <row r="3" spans="1:2">
      <c r="A3" s="2" t="s">
        <v>3</v>
      </c>
      <c r="B3" s="1">
        <f>'[1]EdgeSoft Summary'!Q6</f>
        <v>80</v>
      </c>
    </row>
    <row r="4" spans="1:2">
      <c r="A4" s="2" t="s">
        <v>4</v>
      </c>
      <c r="B4" s="1">
        <f>'[1]Speridian Summary'!Q6</f>
        <v>75.230769230769226</v>
      </c>
    </row>
    <row r="5" spans="1:2">
      <c r="A5" s="2" t="s">
        <v>5</v>
      </c>
      <c r="B5" s="1">
        <f>'[1]Computronix Summary'!Q6</f>
        <v>71.15384615384616</v>
      </c>
    </row>
    <row r="6" spans="1:2">
      <c r="A6" s="2" t="s">
        <v>6</v>
      </c>
      <c r="B6" s="1">
        <f>'[1]VIP Summary'!Q6</f>
        <v>64.384615384615387</v>
      </c>
    </row>
    <row r="7" spans="1:2">
      <c r="A7" s="2" t="s">
        <v>7</v>
      </c>
      <c r="B7" s="1">
        <f>'[1]OpenGov Summary'!Q6</f>
        <v>68.84615384615384</v>
      </c>
    </row>
    <row r="8" spans="1:2">
      <c r="A8" s="2" t="s">
        <v>8</v>
      </c>
      <c r="B8" s="1">
        <f>'[1]Tyler Munis'!Q6</f>
        <v>59.538461538461533</v>
      </c>
    </row>
    <row r="9" spans="1:2">
      <c r="A9" s="2" t="s">
        <v>9</v>
      </c>
      <c r="B9" s="1">
        <f>'[1]True Point Summary'!Q6</f>
        <v>66</v>
      </c>
    </row>
    <row r="10" spans="1:2">
      <c r="A10" s="2" t="s">
        <v>10</v>
      </c>
      <c r="B10" s="1">
        <f>'[1]Avocette Summary'!Q6</f>
        <v>64.785714285714292</v>
      </c>
    </row>
    <row r="11" spans="1:2">
      <c r="A11" s="2" t="s">
        <v>11</v>
      </c>
      <c r="B11" s="1">
        <f>'[1]Byrne Summary'!Q6</f>
        <v>51.307692307692307</v>
      </c>
    </row>
    <row r="12" spans="1:2">
      <c r="A12" s="2" t="s">
        <v>12</v>
      </c>
      <c r="B12" s="1">
        <f>'[1]DPP Tech Summary'!Q6</f>
        <v>50.384615384615387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c4b92df6-3b98-478d-b252-25495cd10970">
      <Terms xmlns="http://schemas.microsoft.com/office/infopath/2007/PartnerControls"/>
    </lcf76f155ced4ddcb4097134ff3c332f>
    <TaxCatchAll xmlns="c9528f17-f073-492f-990e-ade7e59330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D26BD7D3F23048B5D0C3B7BAF7E670" ma:contentTypeVersion="15" ma:contentTypeDescription="Create a new document." ma:contentTypeScope="" ma:versionID="6794f9b49df26257d8bb4f8e796c2a8f">
  <xsd:schema xmlns:xsd="http://www.w3.org/2001/XMLSchema" xmlns:xs="http://www.w3.org/2001/XMLSchema" xmlns:p="http://schemas.microsoft.com/office/2006/metadata/properties" xmlns:ns1="http://schemas.microsoft.com/sharepoint/v3" xmlns:ns2="c4b92df6-3b98-478d-b252-25495cd10970" xmlns:ns3="c9528f17-f073-492f-990e-ade7e5933001" targetNamespace="http://schemas.microsoft.com/office/2006/metadata/properties" ma:root="true" ma:fieldsID="7ff38297cbaf9181e81d61540d0802d0" ns1:_="" ns2:_="" ns3:_="">
    <xsd:import namespace="http://schemas.microsoft.com/sharepoint/v3"/>
    <xsd:import namespace="c4b92df6-3b98-478d-b252-25495cd10970"/>
    <xsd:import namespace="c9528f17-f073-492f-990e-ade7e59330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92df6-3b98-478d-b252-25495cd109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8b9315-b38c-431e-a234-0d3ee228cc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28f17-f073-492f-990e-ade7e593300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fa912b-09fa-4a33-a77c-505c93980818}" ma:internalName="TaxCatchAll" ma:showField="CatchAllData" ma:web="c9528f17-f073-492f-990e-ade7e59330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F0729F-C7DC-4E11-BD8C-499919F4BAE9}"/>
</file>

<file path=customXml/itemProps2.xml><?xml version="1.0" encoding="utf-8"?>
<ds:datastoreItem xmlns:ds="http://schemas.openxmlformats.org/officeDocument/2006/customXml" ds:itemID="{02636FC6-3EA8-42CA-8C45-C0848CE04B9A}"/>
</file>

<file path=customXml/itemProps3.xml><?xml version="1.0" encoding="utf-8"?>
<ds:datastoreItem xmlns:ds="http://schemas.openxmlformats.org/officeDocument/2006/customXml" ds:itemID="{D5761889-AD8F-45CC-B2C5-9CD68C890533}"/>
</file>

<file path=docMetadata/LabelInfo.xml><?xml version="1.0" encoding="utf-8"?>
<clbl:labelList xmlns:clbl="http://schemas.microsoft.com/office/2020/mipLabelMetadata">
  <clbl:label id="{a750ed8b-1a22-4730-a100-9811b37d4d17}" enabled="0" method="" siteId="{a750ed8b-1a22-4730-a100-9811b37d4d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Blackwelder, Eryn</dc:creator>
  <cp:keywords/>
  <dc:description/>
  <cp:lastModifiedBy>Clayton, Nakisha</cp:lastModifiedBy>
  <cp:revision/>
  <dcterms:created xsi:type="dcterms:W3CDTF">2026-06-30T19:05:15Z</dcterms:created>
  <dcterms:modified xsi:type="dcterms:W3CDTF">2026-08-10T19:26:21Z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0x0101003CD26BD7D3F23048B5D0C3B7BAF7E670</vt:lpwstr>
  </property>
  <property fmtid="{D5CDD505-2E9C-101B-9397-08002B2CF9AE}" pid="3" name="MediaServiceImageTags">
    <vt:lpwstr/>
  </property>
</Properties>
</file>